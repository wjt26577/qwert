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01_系统文件\01_全局配置\02_配置表格\"/>
    </mc:Choice>
  </mc:AlternateContent>
  <xr:revisionPtr revIDLastSave="0" documentId="13_ncr:1_{51EEBAA1-8554-4557-A2A3-3D9B0AE56D2B}" xr6:coauthVersionLast="47" xr6:coauthVersionMax="47" xr10:uidLastSave="{00000000-0000-0000-0000-000000000000}"/>
  <bookViews>
    <workbookView xWindow="-108" yWindow="-108" windowWidth="41496" windowHeight="16776" activeTab="1" xr2:uid="{C060134F-C735-495B-B394-57376ABBCB35}"/>
  </bookViews>
  <sheets>
    <sheet name="qwert_ppt" sheetId="32" r:id="rId1"/>
    <sheet name="qwert" sheetId="30" r:id="rId2"/>
    <sheet name="CLSID" sheetId="31" r:id="rId3"/>
    <sheet name="shortcut (2)" sheetId="29" r:id="rId4"/>
    <sheet name="shortcut" sheetId="25" r:id="rId5"/>
    <sheet name="my_function" sheetId="28" r:id="rId6"/>
    <sheet name="Sheet8" sheetId="27" r:id="rId7"/>
    <sheet name="total commander" sheetId="26" r:id="rId8"/>
    <sheet name="PPT控件" sheetId="4" r:id="rId9"/>
    <sheet name="PPT函数" sheetId="23" r:id="rId10"/>
    <sheet name="全局按键" sheetId="9" r:id="rId11"/>
    <sheet name="Sheet5" sheetId="24" r:id="rId12"/>
    <sheet name="微信表情" sheetId="20" r:id="rId13"/>
    <sheet name="PPT按键" sheetId="18" r:id="rId14"/>
    <sheet name="keyFunc" sheetId="17" r:id="rId15"/>
    <sheet name="程序快捷键" sheetId="16" r:id="rId16"/>
    <sheet name="PPT功能" sheetId="14" r:id="rId17"/>
    <sheet name="VBA函数" sheetId="15" r:id="rId18"/>
    <sheet name="文件夹" sheetId="13" r:id="rId19"/>
    <sheet name="任务栏" sheetId="11" r:id="rId20"/>
    <sheet name="Sheet4" sheetId="7" r:id="rId21"/>
    <sheet name="Sheet1" sheetId="1" r:id="rId22"/>
    <sheet name="全局按键函数" sheetId="2" r:id="rId23"/>
    <sheet name="公共函数" sheetId="3" r:id="rId24"/>
    <sheet name="Sheet2" sheetId="5" r:id="rId25"/>
    <sheet name="Sheet3" sheetId="6" r:id="rId26"/>
    <sheet name="Sheet6" sheetId="10" r:id="rId27"/>
    <sheet name="commandbars" sheetId="21" r:id="rId28"/>
    <sheet name="Sheet7" sheetId="22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9" l="1"/>
  <c r="F30" i="29"/>
  <c r="C34" i="24"/>
  <c r="E34" i="24"/>
  <c r="D82" i="20"/>
  <c r="D84" i="20"/>
  <c r="D83" i="20"/>
  <c r="D81" i="20"/>
  <c r="D80" i="20"/>
  <c r="D73" i="20"/>
  <c r="D74" i="20"/>
  <c r="D75" i="20"/>
  <c r="D76" i="20"/>
  <c r="D77" i="20"/>
  <c r="D78" i="20"/>
  <c r="D79" i="20"/>
  <c r="D72" i="20"/>
  <c r="D71" i="20"/>
  <c r="D70" i="20"/>
  <c r="D69" i="20"/>
  <c r="D68" i="20"/>
  <c r="D52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53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2" i="20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23" i="17"/>
  <c r="E26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" i="17"/>
  <c r="E60" i="17"/>
  <c r="E61" i="17"/>
  <c r="E62" i="17"/>
  <c r="E63" i="17"/>
  <c r="E64" i="17"/>
  <c r="E65" i="17"/>
  <c r="E66" i="17"/>
  <c r="E67" i="17"/>
  <c r="E68" i="17"/>
  <c r="E69" i="17"/>
  <c r="E70" i="17"/>
  <c r="D2" i="4"/>
  <c r="D1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1D433-74EE-419C-9217-B5CCF8DC30D5}" keepAlive="1" name="查询 - function" description="与工作簿中“function”查询的连接。" type="5" refreshedVersion="0" background="1">
    <dbPr connection="Provider=Microsoft.Mashup.OleDb.1;Data Source=$Workbook$;Location=function;Extended Properties=&quot;&quot;" command="SELECT * FROM [function]"/>
  </connection>
</connections>
</file>

<file path=xl/sharedStrings.xml><?xml version="1.0" encoding="utf-8"?>
<sst xmlns="http://schemas.openxmlformats.org/spreadsheetml/2006/main" count="4621" uniqueCount="2876">
  <si>
    <t>`</t>
  </si>
  <si>
    <t>W</t>
  </si>
  <si>
    <t>E</t>
  </si>
  <si>
    <t>R</t>
  </si>
  <si>
    <t>T</t>
  </si>
  <si>
    <t xml:space="preserve">Suspend </t>
  </si>
  <si>
    <t>U</t>
  </si>
  <si>
    <t>A</t>
  </si>
  <si>
    <t>S</t>
  </si>
  <si>
    <t>D</t>
  </si>
  <si>
    <t>F</t>
  </si>
  <si>
    <t>G</t>
  </si>
  <si>
    <t>H</t>
  </si>
  <si>
    <t>J</t>
  </si>
  <si>
    <t>Z</t>
  </si>
  <si>
    <t>X</t>
  </si>
  <si>
    <t>C</t>
  </si>
  <si>
    <t>V</t>
  </si>
  <si>
    <t>B</t>
  </si>
  <si>
    <t>N</t>
  </si>
  <si>
    <t>M</t>
  </si>
  <si>
    <t>Esc</t>
  </si>
  <si>
    <t>Tab</t>
  </si>
  <si>
    <t>Space</t>
  </si>
  <si>
    <t>Ctrl</t>
  </si>
  <si>
    <t>Lbutton</t>
  </si>
  <si>
    <t>Rbutton</t>
  </si>
  <si>
    <t>XButton1</t>
  </si>
  <si>
    <t>Mbutton</t>
  </si>
  <si>
    <t>Q</t>
  </si>
  <si>
    <t>Ctrl + q</t>
  </si>
  <si>
    <t>Alt + F4</t>
  </si>
  <si>
    <t>Enter</t>
  </si>
  <si>
    <t>Undo</t>
  </si>
  <si>
    <t>Y</t>
  </si>
  <si>
    <t>Redo</t>
  </si>
  <si>
    <t xml:space="preserve"> </t>
  </si>
  <si>
    <t>Save/Save as</t>
  </si>
  <si>
    <t>Delete</t>
  </si>
  <si>
    <t>Copy/Cut</t>
  </si>
  <si>
    <t>Paste</t>
  </si>
  <si>
    <t>BackSpace</t>
  </si>
  <si>
    <t>Sp</t>
  </si>
  <si>
    <t xml:space="preserve"> 函数名                         </t>
  </si>
  <si>
    <t xml:space="preserve"> 注释                                           </t>
  </si>
  <si>
    <t xml:space="preserve"> 空函数，不执行任何操作                                </t>
  </si>
  <si>
    <t xml:space="preserve"> keyFunc_test()               </t>
  </si>
  <si>
    <t xml:space="preserve"> 测试函数                                        </t>
  </si>
  <si>
    <t xml:space="preserve"> 发送参数 p                                       </t>
  </si>
  <si>
    <t xml:space="preserve"> keyFunc_run(p)               </t>
  </si>
  <si>
    <t xml:space="preserve"> 运行参数 p                                       </t>
  </si>
  <si>
    <t xml:space="preserve"> keyFunc_toggleCapsLock()     </t>
  </si>
  <si>
    <t xml:space="preserve"> 切换大写锁定状态                                    </t>
  </si>
  <si>
    <t xml:space="preserve"> keyFunc_mouseSpeedIncrease() </t>
  </si>
  <si>
    <t xml:space="preserve"> 增加鼠标速度                                      </t>
  </si>
  <si>
    <t xml:space="preserve"> keyFunc_mouseSpeedDecrease() </t>
  </si>
  <si>
    <t xml:space="preserve"> 减少鼠标速度                                      </t>
  </si>
  <si>
    <t xml:space="preserve"> keyFunc_moveLeft(i:=1)       </t>
  </si>
  <si>
    <t xml:space="preserve"> 向左移动 i 次                                      </t>
  </si>
  <si>
    <t xml:space="preserve"> keyFunc_moveRight(i:=1)      </t>
  </si>
  <si>
    <t xml:space="preserve"> 向右移动 i 次                                      </t>
  </si>
  <si>
    <t xml:space="preserve"> keyFunc_moveUp(i:=1)         </t>
  </si>
  <si>
    <t xml:space="preserve"> 向上移动 i 次                                      </t>
  </si>
  <si>
    <t xml:space="preserve"> keyFunc_moveDown(i:=1)       </t>
  </si>
  <si>
    <t xml:space="preserve"> 向下移动 i 次                                      </t>
  </si>
  <si>
    <t xml:space="preserve"> keyFunc_moveWordLeft(i:=1)   </t>
  </si>
  <si>
    <t xml:space="preserve"> 向左移动 i 个单词                                   </t>
  </si>
  <si>
    <t xml:space="preserve"> keyFunc_moveWordRight(i:=1)  </t>
  </si>
  <si>
    <t xml:space="preserve"> 向右移动 i 个单词                                   </t>
  </si>
  <si>
    <t xml:space="preserve"> keyFunc_deleteAll()          </t>
  </si>
  <si>
    <t xml:space="preserve"> 删除全部内容                                      </t>
  </si>
  <si>
    <t xml:space="preserve"> keyFunc_deleteWord()         </t>
  </si>
  <si>
    <t xml:space="preserve"> 删除当前单词                                      </t>
  </si>
  <si>
    <t xml:space="preserve"> keyFunc_forwardDeleteWord()  </t>
  </si>
  <si>
    <t xml:space="preserve"> 向前删除一个单词                                    </t>
  </si>
  <si>
    <t xml:space="preserve"> keyFunc_moveToPageBeginning() </t>
  </si>
  <si>
    <t xml:space="preserve"> 移动到页面开头                                     </t>
  </si>
  <si>
    <t xml:space="preserve"> keyFunc_moveToPageEnd()       </t>
  </si>
  <si>
    <t xml:space="preserve"> 移动到页面末尾                                     </t>
  </si>
  <si>
    <t xml:space="preserve"> keyFunc_deleteLine()         </t>
  </si>
  <si>
    <t xml:space="preserve"> 删除当前行                                       </t>
  </si>
  <si>
    <t xml:space="preserve"> keyFunc_deleteToLineBeginning() </t>
  </si>
  <si>
    <t xml:space="preserve"> 删除到行首                                       </t>
  </si>
  <si>
    <t xml:space="preserve"> keyFunc_deleteToLineEnd()     </t>
  </si>
  <si>
    <t xml:space="preserve"> 删除到行尾                                       </t>
  </si>
  <si>
    <t xml:space="preserve"> keyFunc_deleteToPageBeginning() </t>
  </si>
  <si>
    <t xml:space="preserve"> 删除到页面开头                                    </t>
  </si>
  <si>
    <t xml:space="preserve"> keyFunc_deleteToPageEnd()       </t>
  </si>
  <si>
    <t xml:space="preserve"> 删除到页面末尾                                    </t>
  </si>
  <si>
    <t xml:space="preserve"> keyFunc_doubleAngle()        </t>
  </si>
  <si>
    <t xml:space="preserve"> 输入双括号                                        </t>
  </si>
  <si>
    <t xml:space="preserve"> keyFunc_pageUp()             </t>
  </si>
  <si>
    <t xml:space="preserve"> 向上翻页                                        </t>
  </si>
  <si>
    <t xml:space="preserve"> keyFunc_pageDown()           </t>
  </si>
  <si>
    <t xml:space="preserve"> 向下翻页                                        </t>
  </si>
  <si>
    <t xml:space="preserve"> keyFunc_pageMoveUp()         </t>
  </si>
  <si>
    <t xml:space="preserve"> 向上移动一页                                      </t>
  </si>
  <si>
    <t xml:space="preserve"> keyFunc_pageMoveDown()       </t>
  </si>
  <si>
    <t xml:space="preserve"> 向下移动一页                                      </t>
  </si>
  <si>
    <t xml:space="preserve"> keyFunc_jumpPageTop()        </t>
  </si>
  <si>
    <t xml:space="preserve"> 跳转到页面顶部                                    </t>
  </si>
  <si>
    <t xml:space="preserve"> keyFunc_jumpPageBottom()     </t>
  </si>
  <si>
    <t xml:space="preserve"> 跳转到页面底部                                    </t>
  </si>
  <si>
    <t xml:space="preserve"> keyFunc_selectUp(i:=1)       </t>
  </si>
  <si>
    <t xml:space="preserve"> 向上选择 i 次                                      </t>
  </si>
  <si>
    <t xml:space="preserve"> keyFunc_selectDown(i:=1)     </t>
  </si>
  <si>
    <t xml:space="preserve"> 向下选择 i 次                                      </t>
  </si>
  <si>
    <t xml:space="preserve"> keyFunc_selectLeft(i:=1)     </t>
  </si>
  <si>
    <t xml:space="preserve"> 向左选择 i 次                                      </t>
  </si>
  <si>
    <t xml:space="preserve"> keyFunc_selectRight(i:=1)    </t>
  </si>
  <si>
    <t xml:space="preserve"> 向右选择 i 次                                      </t>
  </si>
  <si>
    <t xml:space="preserve"> keyFunc_selectHome()         </t>
  </si>
  <si>
    <t xml:space="preserve"> 选择到行首                                        </t>
  </si>
  <si>
    <t xml:space="preserve"> keyFunc_selectEnd()          </t>
  </si>
  <si>
    <t xml:space="preserve"> 选择到行尾                                        </t>
  </si>
  <si>
    <t xml:space="preserve"> keyFunc_selectToPageBeginning() </t>
  </si>
  <si>
    <t xml:space="preserve"> 选择到页面开头                                   </t>
  </si>
  <si>
    <t xml:space="preserve"> keyFunc_selectToPageEnd()       </t>
  </si>
  <si>
    <t xml:space="preserve"> 选择到页面末尾                                   </t>
  </si>
  <si>
    <t xml:space="preserve"> keyFunc_selectCurrentWord()  </t>
  </si>
  <si>
    <t xml:space="preserve"> 选择当前单词                                      </t>
  </si>
  <si>
    <t xml:space="preserve"> keyFunc_selectCurrentLine()  </t>
  </si>
  <si>
    <t xml:space="preserve"> 选择当前行                                       </t>
  </si>
  <si>
    <t xml:space="preserve"> keyFunc_selectWordLeft(i:=1) </t>
  </si>
  <si>
    <t xml:space="preserve"> 向左选择 i 个单词                                   </t>
  </si>
  <si>
    <t xml:space="preserve"> keyFunc_selectWordRight(i:=1) </t>
  </si>
  <si>
    <t xml:space="preserve"> 向右选择 i 个单词                                   </t>
  </si>
  <si>
    <t xml:space="preserve"> keyFunc_pageMoveLineUp(i:=1) </t>
  </si>
  <si>
    <t xml:space="preserve"> 向上移动 i 行                                      </t>
  </si>
  <si>
    <t xml:space="preserve"> keyFunc_pageMoveLineDown(i:=1) </t>
  </si>
  <si>
    <t xml:space="preserve"> 向下移动 i 行                                    </t>
  </si>
  <si>
    <t xml:space="preserve"> keyFunc_mediaPrev()          </t>
  </si>
  <si>
    <t xml:space="preserve"> 媒体上一个                                      </t>
  </si>
  <si>
    <t xml:space="preserve"> keyFunc_mediaNext()          </t>
  </si>
  <si>
    <t xml:space="preserve"> 媒体下一个                                      </t>
  </si>
  <si>
    <t xml:space="preserve"> keyFunc_mediaPlayPause()     </t>
  </si>
  <si>
    <t xml:space="preserve"> 媒体播放/暂停                                    </t>
  </si>
  <si>
    <t xml:space="preserve"> keyFunc_volumeUp()           </t>
  </si>
  <si>
    <t xml:space="preserve"> 音量增加                                        </t>
  </si>
  <si>
    <t xml:space="preserve"> keyFunc_volumeDown()         </t>
  </si>
  <si>
    <t xml:space="preserve"> 音量减小                                        </t>
  </si>
  <si>
    <t xml:space="preserve"> keyFunc_volumeMute()         </t>
  </si>
  <si>
    <t xml:space="preserve"> 静音                                            </t>
  </si>
  <si>
    <t xml:space="preserve"> keyFunc_reload()             </t>
  </si>
  <si>
    <t xml:space="preserve"> 重新加载                                        </t>
  </si>
  <si>
    <t xml:space="preserve"> keyFunc_send_dot()           </t>
  </si>
  <si>
    <t xml:space="preserve"> 发送点                                          </t>
  </si>
  <si>
    <t xml:space="preserve"> keyfunc_click_left()         </t>
  </si>
  <si>
    <t xml:space="preserve"> 左键单击                                        </t>
  </si>
  <si>
    <t xml:space="preserve"> 右键单击                                        </t>
  </si>
  <si>
    <t xml:space="preserve"> keyfunc_mouse_up()           </t>
  </si>
  <si>
    <t xml:space="preserve"> 鼠标向上移动                                      </t>
  </si>
  <si>
    <t xml:space="preserve"> keyfunc_mouse_down()         </t>
  </si>
  <si>
    <t xml:space="preserve"> 鼠标向下移动                                      </t>
  </si>
  <si>
    <t xml:space="preserve"> keyfunc_mouse_left()         </t>
  </si>
  <si>
    <t xml:space="preserve"> 鼠标向左移动                                      </t>
  </si>
  <si>
    <t xml:space="preserve"> keyfunc_mouse_right()        </t>
  </si>
  <si>
    <t xml:space="preserve"> 鼠标向右移动                                      </t>
  </si>
  <si>
    <t xml:space="preserve"> keyfunc_wheel_up()           </t>
  </si>
  <si>
    <t xml:space="preserve"> 鼠标滚轮向上滚动                                   </t>
  </si>
  <si>
    <t xml:space="preserve"> keyfunc_wheel_down()         </t>
  </si>
  <si>
    <t xml:space="preserve"> 鼠标滚轮向下滚动                                   </t>
  </si>
  <si>
    <t xml:space="preserve"> keyfunc_click_right()        </t>
    <phoneticPr fontId="2" type="noConversion"/>
  </si>
  <si>
    <t>序号</t>
    <phoneticPr fontId="2" type="noConversion"/>
  </si>
  <si>
    <t>getSelText_testVersion()</t>
  </si>
  <si>
    <t>alert(str)</t>
  </si>
  <si>
    <t>set2Run(str)</t>
  </si>
  <si>
    <t>foolGui(switch=1)</t>
  </si>
  <si>
    <t>clipSaver(clipX)</t>
  </si>
  <si>
    <t>runFunc(str)</t>
  </si>
  <si>
    <t>xpos()</t>
  </si>
  <si>
    <t>ypos()</t>
  </si>
  <si>
    <t>MouseIsOver(WinTitle)</t>
  </si>
  <si>
    <t>MouseIsOverClassNN(ClassNN)</t>
  </si>
  <si>
    <t>ActiveMiniDict()</t>
  </si>
  <si>
    <t>GetPicturePosition(ImageFilePath)</t>
  </si>
  <si>
    <t>RunVBcode(sFunction)</t>
  </si>
  <si>
    <t>GetSelectedFile(hwnd="")</t>
  </si>
  <si>
    <t>funcLogic_CloseMonitor()</t>
  </si>
  <si>
    <t>Youdao(str1)</t>
  </si>
  <si>
    <t xml:space="preserve">getSelTextUTF8encode(str) </t>
  </si>
  <si>
    <t>checkStrType(str, fuzzy:=0)</t>
  </si>
  <si>
    <t>setSettings(sec,key,val)</t>
  </si>
  <si>
    <t>showMsg(msg,t:=2000)</t>
  </si>
  <si>
    <t>extractSetStr(str, ByRef runStr:="", ByRef ifAdmin:=false, ByRef param:="")</t>
  </si>
  <si>
    <t xml:space="preserve">SystemCursor(OnOff:=1)  </t>
  </si>
  <si>
    <t>ClickPicture(ImageFilePath,ClickCount:=1,Speed:=0,Return:=true,ShowError:=true)</t>
  </si>
  <si>
    <t>ClickPosition(posX,posY,ClickCount:=1,Speed:=5,CoordMode:="Screen",Return:=true)</t>
  </si>
  <si>
    <t>switchime(ime := "A")</t>
  </si>
  <si>
    <t xml:space="preserve">ExplorerInfo(mode="",hwnd="") </t>
  </si>
  <si>
    <t>Morse(timeout = 200)</t>
  </si>
  <si>
    <t>not_Edit_InFocus</t>
    <phoneticPr fontId="2" type="noConversion"/>
  </si>
  <si>
    <t>CopyFilesAndFolders(SourcePattern, DestinationFolder, DoOverwrite = false)</t>
    <phoneticPr fontId="2" type="noConversion"/>
  </si>
  <si>
    <t>IME_GET(WinTitle="")</t>
  </si>
  <si>
    <r>
      <rPr>
        <sz val="11"/>
        <color theme="1"/>
        <rFont val="Microsoft YaHei Light"/>
        <family val="2"/>
        <charset val="134"/>
      </rPr>
      <t>从当前活动窗口中获取选定的文本（测试版本）</t>
    </r>
  </si>
  <si>
    <r>
      <rPr>
        <sz val="11"/>
        <color theme="1"/>
        <rFont val="Microsoft YaHei Light"/>
        <family val="2"/>
        <charset val="134"/>
      </rPr>
      <t>将指定的字符串</t>
    </r>
    <r>
      <rPr>
        <sz val="11"/>
        <color theme="1"/>
        <rFont val="zGilroy-Regular"/>
      </rPr>
      <t>`str`</t>
    </r>
    <r>
      <rPr>
        <sz val="11"/>
        <color theme="1"/>
        <rFont val="Microsoft YaHei Light"/>
        <family val="2"/>
        <charset val="134"/>
      </rPr>
      <t>以</t>
    </r>
    <r>
      <rPr>
        <sz val="11"/>
        <color theme="1"/>
        <rFont val="zGilroy-Regular"/>
      </rPr>
      <t>UTF-8</t>
    </r>
    <r>
      <rPr>
        <sz val="11"/>
        <color theme="1"/>
        <rFont val="Microsoft YaHei Light"/>
        <family val="2"/>
        <charset val="134"/>
      </rPr>
      <t>格式进行编码，并返回编码结果</t>
    </r>
  </si>
  <si>
    <r>
      <rPr>
        <sz val="11"/>
        <color theme="1"/>
        <rFont val="Microsoft YaHei Light"/>
        <family val="2"/>
        <charset val="134"/>
      </rPr>
      <t>检查输入字符串</t>
    </r>
    <r>
      <rPr>
        <sz val="11"/>
        <color theme="1"/>
        <rFont val="zGilroy-Regular"/>
      </rPr>
      <t>`str`</t>
    </r>
    <r>
      <rPr>
        <sz val="11"/>
        <color theme="1"/>
        <rFont val="Microsoft YaHei Light"/>
        <family val="2"/>
        <charset val="134"/>
      </rPr>
      <t>的类型，并返回结果将</t>
    </r>
    <r>
      <rPr>
        <sz val="11"/>
        <color theme="1"/>
        <rFont val="zGilroy-Regular"/>
      </rPr>
      <t>`fuzzy`</t>
    </r>
    <r>
      <rPr>
        <sz val="11"/>
        <color theme="1"/>
        <rFont val="Microsoft YaHei Light"/>
        <family val="2"/>
        <charset val="134"/>
      </rPr>
      <t>设置为</t>
    </r>
    <r>
      <rPr>
        <sz val="11"/>
        <color theme="1"/>
        <rFont val="zGilroy-Regular"/>
      </rPr>
      <t>1</t>
    </r>
    <r>
      <rPr>
        <sz val="11"/>
        <color theme="1"/>
        <rFont val="Microsoft YaHei Light"/>
        <family val="2"/>
        <charset val="134"/>
      </rPr>
      <t>以进行宽松的类型检查</t>
    </r>
  </si>
  <si>
    <r>
      <rPr>
        <sz val="11"/>
        <color theme="1"/>
        <rFont val="Microsoft YaHei Light"/>
        <family val="2"/>
        <charset val="134"/>
      </rPr>
      <t>在应用程序的设置中为指定的部分</t>
    </r>
    <r>
      <rPr>
        <sz val="11"/>
        <color theme="1"/>
        <rFont val="zGilroy-Regular"/>
      </rPr>
      <t>`sec`</t>
    </r>
    <r>
      <rPr>
        <sz val="11"/>
        <color theme="1"/>
        <rFont val="Microsoft YaHei Light"/>
        <family val="2"/>
        <charset val="134"/>
      </rPr>
      <t>和键</t>
    </r>
    <r>
      <rPr>
        <sz val="11"/>
        <color theme="1"/>
        <rFont val="zGilroy-Regular"/>
      </rPr>
      <t>`key`</t>
    </r>
    <r>
      <rPr>
        <sz val="11"/>
        <color theme="1"/>
        <rFont val="Microsoft YaHei Light"/>
        <family val="2"/>
        <charset val="134"/>
      </rPr>
      <t>设置值</t>
    </r>
    <r>
      <rPr>
        <sz val="11"/>
        <color theme="1"/>
        <rFont val="zGilroy-Regular"/>
      </rPr>
      <t>`val`</t>
    </r>
    <phoneticPr fontId="2" type="noConversion"/>
  </si>
  <si>
    <r>
      <rPr>
        <sz val="11"/>
        <color theme="1"/>
        <rFont val="Microsoft YaHei Light"/>
        <family val="2"/>
        <charset val="134"/>
      </rPr>
      <t>显示一个消息</t>
    </r>
    <r>
      <rPr>
        <sz val="11"/>
        <color theme="1"/>
        <rFont val="zGilroy-Regular"/>
      </rPr>
      <t>`msg`</t>
    </r>
    <r>
      <rPr>
        <sz val="11"/>
        <color theme="1"/>
        <rFont val="Microsoft YaHei Light"/>
        <family val="2"/>
        <charset val="134"/>
      </rPr>
      <t>，持续一定时间</t>
    </r>
    <r>
      <rPr>
        <sz val="11"/>
        <color theme="1"/>
        <rFont val="zGilroy-Regular"/>
      </rPr>
      <t>`t`</t>
    </r>
    <r>
      <rPr>
        <sz val="11"/>
        <color theme="1"/>
        <rFont val="Microsoft YaHei Light"/>
        <family val="2"/>
        <charset val="134"/>
      </rPr>
      <t>（以毫秒为单位）</t>
    </r>
  </si>
  <si>
    <r>
      <rPr>
        <sz val="11"/>
        <color theme="1"/>
        <rFont val="Microsoft YaHei Light"/>
        <family val="2"/>
        <charset val="134"/>
      </rPr>
      <t>从字符串</t>
    </r>
    <r>
      <rPr>
        <sz val="11"/>
        <color theme="1"/>
        <rFont val="zGilroy-Regular"/>
      </rPr>
      <t>`str`</t>
    </r>
    <r>
      <rPr>
        <sz val="11"/>
        <color theme="1"/>
        <rFont val="Microsoft YaHei Light"/>
        <family val="2"/>
        <charset val="134"/>
      </rPr>
      <t>中提取设置字符串，并通过引用返回</t>
    </r>
    <r>
      <rPr>
        <sz val="11"/>
        <color theme="1"/>
        <rFont val="zGilroy-Regular"/>
      </rPr>
      <t>`runStr`</t>
    </r>
    <r>
      <rPr>
        <sz val="11"/>
        <color theme="1"/>
        <rFont val="Microsoft YaHei Light"/>
        <family val="2"/>
        <charset val="134"/>
      </rPr>
      <t>、</t>
    </r>
    <r>
      <rPr>
        <sz val="11"/>
        <color theme="1"/>
        <rFont val="zGilroy-Regular"/>
      </rPr>
      <t>`ifAdmin`</t>
    </r>
    <r>
      <rPr>
        <sz val="11"/>
        <color theme="1"/>
        <rFont val="Microsoft YaHei Light"/>
        <family val="2"/>
        <charset val="134"/>
      </rPr>
      <t>和</t>
    </r>
    <r>
      <rPr>
        <sz val="11"/>
        <color theme="1"/>
        <rFont val="zGilroy-Regular"/>
      </rPr>
      <t>`param`</t>
    </r>
    <r>
      <rPr>
        <sz val="11"/>
        <color theme="1"/>
        <rFont val="Microsoft YaHei Light"/>
        <family val="2"/>
        <charset val="134"/>
      </rPr>
      <t>的值</t>
    </r>
  </si>
  <si>
    <r>
      <rPr>
        <sz val="11"/>
        <color theme="1"/>
        <rFont val="Microsoft YaHei Light"/>
        <family val="2"/>
        <charset val="134"/>
      </rPr>
      <t>显示一个警告框，其中包含指定的字符串</t>
    </r>
    <r>
      <rPr>
        <sz val="11"/>
        <color theme="1"/>
        <rFont val="zGilroy-Regular"/>
      </rPr>
      <t>`str`</t>
    </r>
  </si>
  <si>
    <r>
      <rPr>
        <sz val="11"/>
        <color theme="1"/>
        <rFont val="Microsoft YaHei Light"/>
        <family val="2"/>
        <charset val="134"/>
      </rPr>
      <t>将字符串</t>
    </r>
    <r>
      <rPr>
        <sz val="11"/>
        <color theme="1"/>
        <rFont val="zGilroy-Regular"/>
      </rPr>
      <t>`str`</t>
    </r>
    <r>
      <rPr>
        <sz val="11"/>
        <color theme="1"/>
        <rFont val="Microsoft YaHei Light"/>
        <family val="2"/>
        <charset val="134"/>
      </rPr>
      <t>设置为要执行的代码，并立即执行它</t>
    </r>
  </si>
  <si>
    <r>
      <rPr>
        <sz val="11"/>
        <color theme="1"/>
        <rFont val="Microsoft YaHei Light"/>
        <family val="2"/>
        <charset val="134"/>
      </rPr>
      <t>模拟用户与图形用户界面（</t>
    </r>
    <r>
      <rPr>
        <sz val="11"/>
        <color theme="1"/>
        <rFont val="zGilroy-Regular"/>
      </rPr>
      <t>GUI</t>
    </r>
    <r>
      <rPr>
        <sz val="11"/>
        <color theme="1"/>
        <rFont val="Microsoft YaHei Light"/>
        <family val="2"/>
        <charset val="134"/>
      </rPr>
      <t>）的交互操作</t>
    </r>
  </si>
  <si>
    <r>
      <rPr>
        <sz val="11"/>
        <color theme="1"/>
        <rFont val="Microsoft YaHei Light"/>
        <family val="2"/>
        <charset val="134"/>
      </rPr>
      <t>保存剪贴板中的文本到文件</t>
    </r>
    <r>
      <rPr>
        <sz val="11"/>
        <color theme="1"/>
        <rFont val="zGilroy-Regular"/>
      </rPr>
      <t>`clipX`</t>
    </r>
    <r>
      <rPr>
        <sz val="11"/>
        <color theme="1"/>
        <rFont val="Microsoft YaHei Light"/>
        <family val="2"/>
        <charset val="134"/>
      </rPr>
      <t>中</t>
    </r>
  </si>
  <si>
    <r>
      <rPr>
        <sz val="11"/>
        <color theme="1"/>
        <rFont val="Microsoft YaHei Light"/>
        <family val="2"/>
        <charset val="134"/>
      </rPr>
      <t>运行指定的函数</t>
    </r>
    <r>
      <rPr>
        <sz val="11"/>
        <color theme="1"/>
        <rFont val="zGilroy-Regular"/>
      </rPr>
      <t>`str`</t>
    </r>
  </si>
  <si>
    <r>
      <rPr>
        <sz val="11"/>
        <color theme="1"/>
        <rFont val="Microsoft YaHei Light"/>
        <family val="2"/>
        <charset val="134"/>
      </rPr>
      <t>控制系统鼠标光标的显示和隐藏</t>
    </r>
  </si>
  <si>
    <r>
      <rPr>
        <sz val="11"/>
        <color theme="1"/>
        <rFont val="Microsoft YaHei Light"/>
        <family val="2"/>
        <charset val="134"/>
      </rPr>
      <t>获取鼠标当前的横坐标位置</t>
    </r>
  </si>
  <si>
    <r>
      <rPr>
        <sz val="11"/>
        <color theme="1"/>
        <rFont val="Microsoft YaHei Light"/>
        <family val="2"/>
        <charset val="134"/>
      </rPr>
      <t>获取鼠标当前的纵坐标位置</t>
    </r>
  </si>
  <si>
    <r>
      <rPr>
        <sz val="11"/>
        <color theme="1"/>
        <rFont val="Microsoft YaHei Light"/>
        <family val="2"/>
        <charset val="134"/>
      </rPr>
      <t>检查鼠标是否悬停在指定窗口标题上，并返回结果</t>
    </r>
  </si>
  <si>
    <r>
      <rPr>
        <sz val="11"/>
        <color theme="1"/>
        <rFont val="Microsoft YaHei Light"/>
        <family val="2"/>
        <charset val="134"/>
      </rPr>
      <t>检查鼠标是否悬停在具有指定</t>
    </r>
    <r>
      <rPr>
        <sz val="11"/>
        <color theme="1"/>
        <rFont val="zGilroy-Regular"/>
      </rPr>
      <t>ClassNN</t>
    </r>
    <r>
      <rPr>
        <sz val="11"/>
        <color theme="1"/>
        <rFont val="Microsoft YaHei Light"/>
        <family val="2"/>
        <charset val="134"/>
      </rPr>
      <t>的窗口上，并返回结果</t>
    </r>
  </si>
  <si>
    <r>
      <rPr>
        <sz val="11"/>
        <color theme="1"/>
        <rFont val="Microsoft YaHei Light"/>
        <family val="2"/>
        <charset val="134"/>
      </rPr>
      <t>获取当前活动的迷你字典</t>
    </r>
  </si>
  <si>
    <r>
      <rPr>
        <sz val="11"/>
        <color theme="1"/>
        <rFont val="Microsoft YaHei Light"/>
        <family val="2"/>
        <charset val="134"/>
      </rPr>
      <t>单击屏幕上匹配图像文件路径的位置</t>
    </r>
  </si>
  <si>
    <r>
      <rPr>
        <sz val="11"/>
        <color theme="1"/>
        <rFont val="Microsoft YaHei Light"/>
        <family val="2"/>
        <charset val="134"/>
      </rPr>
      <t>单击屏幕上指定位置的坐标</t>
    </r>
  </si>
  <si>
    <r>
      <rPr>
        <sz val="11"/>
        <color theme="1"/>
        <rFont val="Microsoft YaHei Light"/>
        <family val="2"/>
        <charset val="134"/>
      </rPr>
      <t>获取屏幕上匹配图像文件路径的位置</t>
    </r>
  </si>
  <si>
    <r>
      <rPr>
        <sz val="11"/>
        <color theme="1"/>
        <rFont val="Microsoft YaHei Light"/>
        <family val="2"/>
        <charset val="134"/>
      </rPr>
      <t>切换输入法到指定的</t>
    </r>
    <r>
      <rPr>
        <sz val="11"/>
        <color theme="1"/>
        <rFont val="zGilroy-Regular"/>
      </rPr>
      <t>IME</t>
    </r>
    <r>
      <rPr>
        <sz val="11"/>
        <color theme="1"/>
        <rFont val="Microsoft YaHei Light"/>
        <family val="2"/>
        <charset val="134"/>
      </rPr>
      <t>（输入法编辑器）</t>
    </r>
  </si>
  <si>
    <r>
      <rPr>
        <sz val="11"/>
        <color theme="1"/>
        <rFont val="Microsoft YaHei Light"/>
        <family val="2"/>
        <charset val="134"/>
      </rPr>
      <t>运行指定的</t>
    </r>
    <r>
      <rPr>
        <sz val="11"/>
        <color theme="1"/>
        <rFont val="zGilroy-Regular"/>
      </rPr>
      <t>VB</t>
    </r>
    <r>
      <rPr>
        <sz val="11"/>
        <color theme="1"/>
        <rFont val="Microsoft YaHei Light"/>
        <family val="2"/>
        <charset val="134"/>
      </rPr>
      <t>代码函数</t>
    </r>
    <r>
      <rPr>
        <sz val="11"/>
        <color theme="1"/>
        <rFont val="zGilroy-Regular"/>
      </rPr>
      <t>`sFunction`</t>
    </r>
  </si>
  <si>
    <r>
      <rPr>
        <sz val="11"/>
        <color theme="1"/>
        <rFont val="Microsoft YaHei Light"/>
        <family val="2"/>
        <charset val="134"/>
      </rPr>
      <t>获取指定窗口</t>
    </r>
    <r>
      <rPr>
        <sz val="11"/>
        <color theme="1"/>
        <rFont val="zGilroy-Regular"/>
      </rPr>
      <t>`hwnd`</t>
    </r>
    <r>
      <rPr>
        <sz val="11"/>
        <color theme="1"/>
        <rFont val="Microsoft YaHei Light"/>
        <family val="2"/>
        <charset val="134"/>
      </rPr>
      <t>中选定的文件</t>
    </r>
    <phoneticPr fontId="2" type="noConversion"/>
  </si>
  <si>
    <r>
      <rPr>
        <sz val="11"/>
        <color theme="1"/>
        <rFont val="Microsoft YaHei Light"/>
        <family val="2"/>
        <charset val="134"/>
      </rPr>
      <t>关闭显示器</t>
    </r>
  </si>
  <si>
    <r>
      <rPr>
        <sz val="11"/>
        <color theme="1"/>
        <rFont val="Microsoft YaHei Light"/>
        <family val="2"/>
        <charset val="134"/>
      </rPr>
      <t>选定的文件</t>
    </r>
    <r>
      <rPr>
        <sz val="11"/>
        <color theme="1"/>
        <rFont val="zGilroy-Regular"/>
      </rPr>
      <t>()</t>
    </r>
  </si>
  <si>
    <r>
      <rPr>
        <sz val="11"/>
        <color theme="1"/>
        <rFont val="Microsoft YaHei Light"/>
        <family val="2"/>
        <charset val="134"/>
      </rPr>
      <t>获取当前活动窗口中选定的文件</t>
    </r>
  </si>
  <si>
    <r>
      <rPr>
        <sz val="11"/>
        <color theme="1"/>
        <rFont val="Microsoft YaHei Light"/>
        <family val="2"/>
        <charset val="134"/>
      </rPr>
      <t>检查当前活动窗口的焦点控件标识符是否为文本编辑的控件</t>
    </r>
  </si>
  <si>
    <r>
      <rPr>
        <sz val="11"/>
        <color theme="1"/>
        <rFont val="Microsoft YaHei Light"/>
        <family val="2"/>
        <charset val="134"/>
      </rPr>
      <t>将指定的文件和文件夹从源目录复制到目标目录</t>
    </r>
    <phoneticPr fontId="2" type="noConversion"/>
  </si>
  <si>
    <r>
      <rPr>
        <sz val="11"/>
        <color theme="1"/>
        <rFont val="Microsoft YaHei Light"/>
        <family val="2"/>
        <charset val="134"/>
      </rPr>
      <t>在有道翻译中翻译指定的字符串</t>
    </r>
    <r>
      <rPr>
        <sz val="11"/>
        <color theme="1"/>
        <rFont val="zGilroy-Regular"/>
      </rPr>
      <t>`str1`</t>
    </r>
  </si>
  <si>
    <r>
      <rPr>
        <sz val="11"/>
        <color theme="1"/>
        <rFont val="Microsoft YaHei Light"/>
        <family val="2"/>
        <charset val="134"/>
      </rPr>
      <t>获取指定窗口的当前输入法（</t>
    </r>
    <r>
      <rPr>
        <sz val="11"/>
        <color theme="1"/>
        <rFont val="zGilroy-Regular"/>
      </rPr>
      <t>IME</t>
    </r>
    <r>
      <rPr>
        <sz val="11"/>
        <color theme="1"/>
        <rFont val="Microsoft YaHei Light"/>
        <family val="2"/>
        <charset val="134"/>
      </rPr>
      <t>）是否处于开启状态</t>
    </r>
  </si>
  <si>
    <r>
      <rPr>
        <sz val="11"/>
        <color theme="1"/>
        <rFont val="Microsoft YaHei Light"/>
        <family val="2"/>
        <charset val="134"/>
      </rPr>
      <t>设置当前活动窗口的输入法（</t>
    </r>
    <r>
      <rPr>
        <sz val="11"/>
        <color theme="1"/>
        <rFont val="zGilroy-Regular"/>
      </rPr>
      <t>IME</t>
    </r>
    <r>
      <rPr>
        <sz val="11"/>
        <color theme="1"/>
        <rFont val="Microsoft YaHei Light"/>
        <family val="2"/>
        <charset val="134"/>
      </rPr>
      <t>）状态</t>
    </r>
  </si>
  <si>
    <r>
      <rPr>
        <b/>
        <sz val="12"/>
        <color theme="1"/>
        <rFont val="Microsoft YaHei Light"/>
        <family val="2"/>
        <charset val="134"/>
      </rPr>
      <t>序号</t>
    </r>
    <phoneticPr fontId="2" type="noConversion"/>
  </si>
  <si>
    <r>
      <t xml:space="preserve"> </t>
    </r>
    <r>
      <rPr>
        <b/>
        <sz val="12"/>
        <color theme="1"/>
        <rFont val="Microsoft YaHei Light"/>
        <family val="2"/>
        <charset val="134"/>
      </rPr>
      <t>函数名</t>
    </r>
    <r>
      <rPr>
        <b/>
        <sz val="12"/>
        <color theme="1"/>
        <rFont val="zGilroy-Regular"/>
      </rPr>
      <t xml:space="preserve">                         </t>
    </r>
    <phoneticPr fontId="2" type="noConversion"/>
  </si>
  <si>
    <r>
      <t xml:space="preserve"> </t>
    </r>
    <r>
      <rPr>
        <b/>
        <sz val="12"/>
        <color theme="1"/>
        <rFont val="Microsoft YaHei Light"/>
        <family val="2"/>
        <charset val="134"/>
      </rPr>
      <t>注释</t>
    </r>
    <r>
      <rPr>
        <b/>
        <sz val="12"/>
        <color theme="1"/>
        <rFont val="zGilroy-Regular"/>
      </rPr>
      <t xml:space="preserve">                                           </t>
    </r>
  </si>
  <si>
    <t>IME_SET(ime := "A")</t>
    <phoneticPr fontId="2" type="noConversion"/>
  </si>
  <si>
    <t>监听指定热键的按键次数并返回对应的字符串表示</t>
    <phoneticPr fontId="2" type="noConversion"/>
  </si>
  <si>
    <t>FileNewDefault</t>
  </si>
  <si>
    <t>FileOpenUsingBackstage</t>
  </si>
  <si>
    <t>FileSave</t>
  </si>
  <si>
    <t>FileSendAsAttachment</t>
  </si>
  <si>
    <t>FilePrintQuick</t>
  </si>
  <si>
    <t>PrintPreviewAndPrint</t>
  </si>
  <si>
    <t>Spelling</t>
  </si>
  <si>
    <t>RedoOrRepeat</t>
  </si>
  <si>
    <t>SlideShowFromBeginning</t>
  </si>
  <si>
    <t>PointerModeOptions</t>
  </si>
  <si>
    <t>TabHome</t>
  </si>
  <si>
    <t>GroupClipboard</t>
  </si>
  <si>
    <t>PasteMenu</t>
  </si>
  <si>
    <t>PasteGallery</t>
  </si>
  <si>
    <t>PasteSpecialDialog</t>
  </si>
  <si>
    <t>Cut</t>
  </si>
  <si>
    <t>CopySplitButton</t>
  </si>
  <si>
    <t>Copy</t>
  </si>
  <si>
    <t>PasteDuplicate</t>
  </si>
  <si>
    <t>FormatPainter</t>
  </si>
  <si>
    <t>ShowClipboard</t>
  </si>
  <si>
    <t>GroupSlides</t>
  </si>
  <si>
    <t>SlideLayoutGallery</t>
  </si>
  <si>
    <t>SlideReset</t>
  </si>
  <si>
    <t>SectionMenu</t>
  </si>
  <si>
    <t>SectionAdd</t>
  </si>
  <si>
    <t>SectionRename</t>
  </si>
  <si>
    <t>SectionMergeWithPrevious</t>
  </si>
  <si>
    <t>SectionRemoveAll</t>
  </si>
  <si>
    <t>SectionCollapseAll</t>
  </si>
  <si>
    <t>SectionExpandAll</t>
  </si>
  <si>
    <t>GroupFont</t>
  </si>
  <si>
    <t>Font</t>
  </si>
  <si>
    <t>FontSize</t>
  </si>
  <si>
    <t>FontSizeIncrease</t>
  </si>
  <si>
    <t>FontSizeDecrease</t>
  </si>
  <si>
    <t>ClearFormatting</t>
  </si>
  <si>
    <t>Bold</t>
  </si>
  <si>
    <t>Italic</t>
  </si>
  <si>
    <t>Underline</t>
  </si>
  <si>
    <t>Shadow</t>
  </si>
  <si>
    <t>Strikethrough</t>
  </si>
  <si>
    <t>CharacterSpacingGallery</t>
  </si>
  <si>
    <t>ChangeCaseGallery</t>
  </si>
  <si>
    <t>FontColorPicker</t>
  </si>
  <si>
    <t>FontColorMoreColorsDialogPowerPoint</t>
  </si>
  <si>
    <t>EyedropperFillText</t>
  </si>
  <si>
    <t>FontDialogPowerPoint</t>
  </si>
  <si>
    <t>GroupParagraph</t>
  </si>
  <si>
    <t>BulletsGallery</t>
  </si>
  <si>
    <t>BulletsAndNumberingBulletsDialog</t>
  </si>
  <si>
    <t>NumberingGallery</t>
  </si>
  <si>
    <t>BulletsAndNumberingNumberingDialog</t>
  </si>
  <si>
    <t>IndentDecrease</t>
  </si>
  <si>
    <t>IndentIncrease</t>
  </si>
  <si>
    <t>LineSpacingGalleryPowerPoint</t>
  </si>
  <si>
    <t>AlignCenter</t>
  </si>
  <si>
    <t>AlignRight</t>
  </si>
  <si>
    <t>AlignJustify</t>
  </si>
  <si>
    <t>AlignJustifyMenu</t>
  </si>
  <si>
    <t>AlignJustifyWithMixedLanguages</t>
  </si>
  <si>
    <t>AlignJustifyLow</t>
  </si>
  <si>
    <t>ParagraphDistributed</t>
  </si>
  <si>
    <t>AlignJustifyThai</t>
  </si>
  <si>
    <t>TextDirectionLeftToRight</t>
  </si>
  <si>
    <t>TextDirectionRightToLeft</t>
  </si>
  <si>
    <t>TableColumnsGallery</t>
  </si>
  <si>
    <t>ParagraphMoreColumnsDialog</t>
  </si>
  <si>
    <t>TextDirectionGallery</t>
  </si>
  <si>
    <t>TextAlignGallery</t>
  </si>
  <si>
    <t>ConvertToSmartArt</t>
  </si>
  <si>
    <t>ConvertToSmartArtMoreSmartArtGraphicsDialog</t>
  </si>
  <si>
    <t>PowerPointParagraphDialog</t>
  </si>
  <si>
    <t>SlideNewGallery</t>
  </si>
  <si>
    <t>DuplicateSelectedSlides</t>
  </si>
  <si>
    <t>SlidesFromOutline</t>
  </si>
  <si>
    <t>SlidesReuseSlides</t>
  </si>
  <si>
    <t>TextDirectionMoreOptionsDialog</t>
  </si>
  <si>
    <t>TextAlignMoreOptionsDialog</t>
  </si>
  <si>
    <t>幻灯片分组</t>
  </si>
  <si>
    <t>复制所选幻灯片</t>
  </si>
  <si>
    <t>从大纲生成幻灯片</t>
  </si>
  <si>
    <t>PowerPoint</t>
  </si>
  <si>
    <t>GroupDrawing</t>
  </si>
  <si>
    <t>GalleryAllShapesAndTextboxes</t>
  </si>
  <si>
    <t>ObjectsArrangeMenu</t>
  </si>
  <si>
    <t>ObjectBringToFront</t>
  </si>
  <si>
    <t>ObjectSendToBack</t>
  </si>
  <si>
    <t>ObjectBringForward</t>
  </si>
  <si>
    <t>ObjectSendBackward</t>
  </si>
  <si>
    <t>ObjectsGroup</t>
  </si>
  <si>
    <t>ObjectsUngroup</t>
  </si>
  <si>
    <t>ObjectsRegroup</t>
  </si>
  <si>
    <t>ObjectAlignMenu</t>
  </si>
  <si>
    <t>ObjectsAlignRelativeToContainerSmart</t>
  </si>
  <si>
    <t>ObjectsAlignSelectedSmart</t>
  </si>
  <si>
    <t>ObjectRotateGallery</t>
  </si>
  <si>
    <t>对象旋转图库</t>
  </si>
  <si>
    <t>ObjectRotationOptionsDialog</t>
  </si>
  <si>
    <t>对象旋转选项对话框</t>
  </si>
  <si>
    <t>SelectionPane</t>
  </si>
  <si>
    <t>选择窗格</t>
  </si>
  <si>
    <t>ShapeQuickStylesHome</t>
  </si>
  <si>
    <t>ShapeStylesOtherThemeFillsGallery</t>
  </si>
  <si>
    <t>ShapeFillColorPicker</t>
  </si>
  <si>
    <t>形状填充颜色选择器</t>
  </si>
  <si>
    <t>ObjectFillMoreColorsDialog</t>
  </si>
  <si>
    <t>EyedropperFill</t>
  </si>
  <si>
    <t>ObjectPictureFill</t>
  </si>
  <si>
    <t>对象图片填充</t>
  </si>
  <si>
    <t>GradientGallery</t>
  </si>
  <si>
    <t>渐变图库</t>
  </si>
  <si>
    <t>ShapeFillMoreGradientsDialog</t>
  </si>
  <si>
    <t>ShapeFillTextureGallery</t>
  </si>
  <si>
    <t>MoreTextureOptions</t>
  </si>
  <si>
    <t>更多纹理选项</t>
  </si>
  <si>
    <t>ShapeOutlineColorPicker</t>
  </si>
  <si>
    <t>形状轮廓颜色选择器</t>
  </si>
  <si>
    <t>ObjectBorderOutlineColorMoreColorsDialog</t>
  </si>
  <si>
    <t>EyedropperOutline</t>
  </si>
  <si>
    <t>OutlineWeightGallery</t>
  </si>
  <si>
    <t>LineStylesDialog</t>
  </si>
  <si>
    <t>线条样式对话框</t>
  </si>
  <si>
    <t>OutlineDashesGallery</t>
  </si>
  <si>
    <t>ArrowStyleGallery</t>
  </si>
  <si>
    <t>箭头样式图库</t>
  </si>
  <si>
    <t>ArrowsMore</t>
  </si>
  <si>
    <t>更多箭头选项</t>
  </si>
  <si>
    <t>ShapeEffectsMenu</t>
  </si>
  <si>
    <t>形状效果菜单</t>
  </si>
  <si>
    <t>ObjectEffectPresetGallery</t>
  </si>
  <si>
    <t>_3DBevelOptionsDialog</t>
  </si>
  <si>
    <t>ObjectEffectShadowGallery</t>
  </si>
  <si>
    <t>ShadowOptionsDialog</t>
  </si>
  <si>
    <t>阴影选项对话框</t>
  </si>
  <si>
    <t>ReflectionGallery</t>
  </si>
  <si>
    <t>倒影图库</t>
  </si>
  <si>
    <t>ReflectionsMoreOptions</t>
  </si>
  <si>
    <t>更多倒影选项</t>
  </si>
  <si>
    <t>ObjectEffectGlowGallery</t>
  </si>
  <si>
    <t>GlowColorPicker</t>
  </si>
  <si>
    <t>发光颜色选择器</t>
  </si>
  <si>
    <t>GlowColorMoreColorsDialog</t>
  </si>
  <si>
    <t>EyedropperGlow</t>
  </si>
  <si>
    <t>GlowsMoreOptions</t>
  </si>
  <si>
    <t>更多发光选项</t>
  </si>
  <si>
    <t>ObjectEffectSoftEdgesGallery</t>
  </si>
  <si>
    <t>SoftEdgesMoreOptions</t>
  </si>
  <si>
    <t>更多柔化边缘选项</t>
  </si>
  <si>
    <t>BevelShapeGallery</t>
  </si>
  <si>
    <t>_3DRotationGallery</t>
  </si>
  <si>
    <t>_3DRotationOptionsDialog</t>
  </si>
  <si>
    <t>ObjectFormatDialog</t>
  </si>
  <si>
    <t>对象格式对话框</t>
  </si>
  <si>
    <t>GroupEditing</t>
  </si>
  <si>
    <t>编辑分组</t>
  </si>
  <si>
    <t>FindDialog</t>
  </si>
  <si>
    <t>查找对话框</t>
  </si>
  <si>
    <t>ReplaceMenu</t>
  </si>
  <si>
    <t>替换菜单</t>
  </si>
  <si>
    <t>ReplaceDialog</t>
  </si>
  <si>
    <t>替换对话框</t>
  </si>
  <si>
    <t>FontsReplaceFonts</t>
  </si>
  <si>
    <t>SelectMenu</t>
  </si>
  <si>
    <t>选择菜单</t>
  </si>
  <si>
    <t>SelectAll</t>
  </si>
  <si>
    <t>全选</t>
  </si>
  <si>
    <t>ObjectsSelect</t>
  </si>
  <si>
    <t>TabInsert</t>
  </si>
  <si>
    <t>插入选项卡</t>
  </si>
  <si>
    <t>GroupSlides2</t>
  </si>
  <si>
    <t>SlideNewGalleryInsert</t>
  </si>
  <si>
    <t>幻灯片重用</t>
  </si>
  <si>
    <t>GroupInsertTables</t>
  </si>
  <si>
    <t>插入表格分组</t>
  </si>
  <si>
    <t>TableInsertGallery</t>
  </si>
  <si>
    <t>表格插入图库</t>
  </si>
  <si>
    <t>TableInsert</t>
  </si>
  <si>
    <t>插入表格</t>
  </si>
  <si>
    <t>TableDrawTable</t>
  </si>
  <si>
    <t>绘制表格</t>
  </si>
  <si>
    <t>ExcelSpreadsheetInsert</t>
  </si>
  <si>
    <t>GroupImages</t>
  </si>
  <si>
    <t>图像分组</t>
  </si>
  <si>
    <t>PictureInsertFromFilePowerPoint</t>
  </si>
  <si>
    <t>从文件插入图片</t>
  </si>
  <si>
    <t>插入剪贴画对话框</t>
  </si>
  <si>
    <t>ScreenshotInsertGallery</t>
  </si>
  <si>
    <t>ScreenClipping</t>
  </si>
  <si>
    <t>屏幕剪贴</t>
  </si>
  <si>
    <t>PhotoAlbumInsertMenu</t>
  </si>
  <si>
    <t>幻灯片集插入菜单</t>
  </si>
  <si>
    <t>PhotoAlbumInsert</t>
  </si>
  <si>
    <t>插入幻灯片集</t>
  </si>
  <si>
    <t>PhotoAlbumEdit</t>
  </si>
  <si>
    <t>编辑幻灯片集</t>
  </si>
  <si>
    <t>GroupInsertIllustrations</t>
  </si>
  <si>
    <t>插入插图分组</t>
  </si>
  <si>
    <t>ShapesInsertGallery</t>
  </si>
  <si>
    <t>形状插入图库</t>
  </si>
  <si>
    <t>SmartArtInsert</t>
  </si>
  <si>
    <t>插入智能图形</t>
  </si>
  <si>
    <t>ChartInsert</t>
  </si>
  <si>
    <t>插入图表</t>
  </si>
  <si>
    <t>GroupOfficeExtension</t>
  </si>
  <si>
    <t>OfficeExtensionsAppStore</t>
  </si>
  <si>
    <t>OfficeExtensionsGallery2</t>
  </si>
  <si>
    <t>OfficeExtensionsDialog</t>
  </si>
  <si>
    <t>扩展对话框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</si>
  <si>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</si>
  <si>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</si>
  <si>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</si>
  <si>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</si>
  <si>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</si>
  <si>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</si>
  <si>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</si>
  <si>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GroupInsertLinks</t>
  </si>
  <si>
    <t>插入链接分组</t>
  </si>
  <si>
    <t>HyperlinkInsert</t>
  </si>
  <si>
    <t>插入超链接</t>
  </si>
  <si>
    <t>ActionInsert</t>
  </si>
  <si>
    <t>GroupInsertComments</t>
  </si>
  <si>
    <t>InsertNewComment</t>
  </si>
  <si>
    <t>GroupInsertText</t>
  </si>
  <si>
    <t>插入文本分组</t>
  </si>
  <si>
    <t>TextBoxInsert</t>
  </si>
  <si>
    <t>TextBoxInsertMenu</t>
  </si>
  <si>
    <t>TextBoxInsertHorizontal</t>
  </si>
  <si>
    <t>TextBoxInsertVertical</t>
  </si>
  <si>
    <t>HeaderFooterInsert</t>
  </si>
  <si>
    <t>插入页眉/页脚</t>
  </si>
  <si>
    <t>AlignDistributeHorizontally: 在水平方向上分布对齐对象</t>
  </si>
  <si>
    <t>AlignDistributeVertically: 在垂直方向上分布对齐对象</t>
  </si>
  <si>
    <t>ObjectsAlignRelativeToContainerSmart: 将对象相对于容器进行智能对齐</t>
  </si>
  <si>
    <t>ObjectsAlignSelectedSmart: 对选定的对象进行智能对齐</t>
  </si>
  <si>
    <t>ObjectRotateGallery: 对象旋转图库</t>
  </si>
  <si>
    <t>ObjectRotationOptionsDialog: 对象旋转选项对话框</t>
  </si>
  <si>
    <t>SelectionPane: 选择窗格</t>
  </si>
  <si>
    <t>ShapeQuickStylesHome: 形状快速样式主页</t>
  </si>
  <si>
    <t>ShapeStylesOtherThemeFillsGallery: 形状样式 其他主题填充图库</t>
  </si>
  <si>
    <t>ShapeFillColorPicker: 形状填充颜色选择器</t>
  </si>
  <si>
    <t>ObjectFillMoreColorsDialog: 对象填充更多颜色对话框</t>
  </si>
  <si>
    <t>EyedropperFill: 吸取填充颜色</t>
  </si>
  <si>
    <t>ObjectPictureFill: 对象图片填充</t>
  </si>
  <si>
    <t>GradientGallery: 渐变图库</t>
  </si>
  <si>
    <t>ShapeFillMoreGradientsDialog: 形状填充 更多渐变对话框</t>
  </si>
  <si>
    <t>ShapeFillTextureGallery: 形状填充 纹理图库</t>
  </si>
  <si>
    <t>MoreTextureOptions: 更多纹理选项</t>
  </si>
  <si>
    <t>ShapeOutlineColorPicker: 形状轮廓颜色选择器</t>
  </si>
  <si>
    <t>ObjectBorderOutlineColorMoreColorsDialog: 对象边框/轮廓颜色 更多颜色对话框</t>
  </si>
  <si>
    <t>EyedropperOutline: 吸取边框/轮廓颜色</t>
  </si>
  <si>
    <t>OutlineWeightGallery: 轮廓粗细图库</t>
  </si>
  <si>
    <t>LineStylesDialog: 线条样式对话框</t>
  </si>
  <si>
    <t>OutlineDashesGallery: 轮廓虚线图库</t>
  </si>
  <si>
    <t>ArrowStyleGallery: 箭头样式图库</t>
  </si>
  <si>
    <t>ArrowsMore: 更多箭头选项</t>
  </si>
  <si>
    <t>ShapeEffectsMenu: 形状效果菜单</t>
  </si>
  <si>
    <t>ObjectEffectPresetGallery: 对象效果预设图库</t>
  </si>
  <si>
    <t>_3DBevelOptionsDialog: 3D 倒角选项对话框</t>
  </si>
  <si>
    <t>ObjectEffectShadowGallery: 对象阴影效果图库</t>
  </si>
  <si>
    <t>ShadowOptionsDialog: 阴影选项对话框</t>
  </si>
  <si>
    <t>ReflectionGallery: 倒影图库</t>
  </si>
  <si>
    <t>ReflectionsMoreOptions: 更多倒影选项</t>
  </si>
  <si>
    <t>ObjectEffectGlowGallery: 对象发光效果图库</t>
  </si>
  <si>
    <t>GlowColorPicker: 发光颜色选择器</t>
  </si>
  <si>
    <t>GlowColorMoreColorsDialog: 发光颜色 更多颜色对话框</t>
  </si>
  <si>
    <t>EyedropperGlow: 吸取发光颜色</t>
  </si>
  <si>
    <t>GlowsMoreOptions: 更多发光选项</t>
  </si>
  <si>
    <t>ObjectEffectSoftEdgesGallery: 对象柔化边缘效果图库</t>
  </si>
  <si>
    <t>SoftEdgesMoreOptions: 更多柔化边缘选项</t>
  </si>
  <si>
    <t>BevelShapeGallery: 倒角形状图库</t>
  </si>
  <si>
    <t>_3DRotationGallery: 3D 旋转图库</t>
  </si>
  <si>
    <t>_3DRotationOptionsDialog: 3D 旋转选项对话框</t>
  </si>
  <si>
    <t>ObjectFormatDialog: 对象格式对话框</t>
  </si>
  <si>
    <t>GroupEditing: 编辑分组</t>
  </si>
  <si>
    <t>FindDialog: 查找对话框</t>
  </si>
  <si>
    <t>ReplaceMenu: 替换菜单</t>
  </si>
  <si>
    <t>ReplaceDialog: 替换对话框</t>
  </si>
  <si>
    <t>FontsReplaceFonts: 替换字体</t>
  </si>
  <si>
    <t>SelectMenu: 选择菜单</t>
  </si>
  <si>
    <t>SelectAll: 全选</t>
  </si>
  <si>
    <t>ObjectsSelect: 选择对象</t>
  </si>
  <si>
    <t>TabInsert: 插入选项卡</t>
  </si>
  <si>
    <t>GroupSlides2: 幻灯片分组</t>
  </si>
  <si>
    <t>SlideNewGalleryInsert: 新建幻灯片图库 插入</t>
  </si>
  <si>
    <t>DuplicateSelectedSlides: 复制所选幻灯片</t>
  </si>
  <si>
    <t>SlidesFromOutline: 从大纲生成幻灯片</t>
  </si>
  <si>
    <t>SlidesReuseSlides: 幻灯片重用</t>
  </si>
  <si>
    <t>GroupInsertTables: 插入表格分组</t>
  </si>
  <si>
    <t>TableInsertGallery: 表格插入图库</t>
  </si>
  <si>
    <t>TableInsert: 插入表格</t>
  </si>
  <si>
    <t>TableDrawTable: 绘制表格</t>
  </si>
  <si>
    <t>ExcelSpreadsheetInsert: 插入 Excel 电子表格</t>
  </si>
  <si>
    <t>GroupImages: 图像分组</t>
  </si>
  <si>
    <t>PictureInsertFromFilePowerPoint: 从文件插入图片</t>
  </si>
  <si>
    <t>ClipArtInsertDialog: 插入剪贴画对话框</t>
  </si>
  <si>
    <t>ScreenshotInsertGallery: 屏幕截图图库</t>
  </si>
  <si>
    <t>ScreenClipping: 屏幕剪贴</t>
  </si>
  <si>
    <t>PhotoAlbumInsertMenu: 幻灯片集插入菜单</t>
  </si>
  <si>
    <t>PhotoAlbumInsert: 插入幻灯片集</t>
  </si>
  <si>
    <t>PhotoAlbumEdit: 编辑幻灯片集</t>
  </si>
  <si>
    <t>GroupInsertIllustrations: 插入插图分组</t>
  </si>
  <si>
    <t>ShapesInsertGallery: 形状插入图库</t>
  </si>
  <si>
    <t>SmartArtInsert: 插入智能图形</t>
  </si>
  <si>
    <t>ChartInsert: 插入图表</t>
  </si>
  <si>
    <t>GroupOfficeExtension: Office 扩展分组</t>
  </si>
  <si>
    <t>OfficeExtensionsAppStore: 应用商店</t>
  </si>
  <si>
    <t>OfficeExtensionsGallery2: 扩展库</t>
  </si>
  <si>
    <t>OfficeExtensionsDialog: 扩展对话框</t>
  </si>
  <si>
    <t>OfficeExtensionsManageOtherAddins: 管理其他加载项</t>
  </si>
  <si>
    <t>OfficeExtensionsFeaturedApp1: 推荐应用 1</t>
  </si>
  <si>
    <t>OfficeExtensionsFeaturedApp2: 推荐应用 2</t>
  </si>
  <si>
    <t>OfficeExtensionsFeaturedApp3: 推荐应用 3</t>
  </si>
  <si>
    <t>OfficeExtensionsFeaturedApp4: 推荐应用 4</t>
  </si>
  <si>
    <t>OfficeExtensionsFeaturedApp5: 推荐应用 5</t>
  </si>
  <si>
    <t>OfficeExtensionsFeaturedApp6: 推荐应用 6</t>
  </si>
  <si>
    <t>GroupInsertLinks: 插入链接分组</t>
  </si>
  <si>
    <t>HyperlinkInsert: 插入超链接</t>
  </si>
  <si>
    <t>ActionInsert: 插入动作</t>
  </si>
  <si>
    <t>GroupInsertComments: 插入批注分组</t>
  </si>
  <si>
    <t>InsertNewComment: 插入新批注</t>
  </si>
  <si>
    <t>GroupInsertText: 插入文本分组</t>
  </si>
  <si>
    <t>TextBoxInsert: 插入文本</t>
  </si>
  <si>
    <t>TextBoxInsertMenu: 文本框插入菜单</t>
  </si>
  <si>
    <t>TextBoxInsertHorizontal: 水平文本框插入</t>
  </si>
  <si>
    <t>TextBoxInsertVertical: 垂直文本框插入</t>
  </si>
  <si>
    <t>HeaderFooterInsert: 插入页眉/页脚</t>
  </si>
  <si>
    <t>在水平方向上分布对齐对象</t>
  </si>
  <si>
    <t>在垂直方向上分布对齐对象</t>
  </si>
  <si>
    <t>ObjectsAlignRelativeToContainerSmart:</t>
  </si>
  <si>
    <t>将对象相对于容器进行智能对齐</t>
  </si>
  <si>
    <t>ObjectsAlignSelectedSmart:</t>
  </si>
  <si>
    <t>对选定的对象进行智能对齐</t>
  </si>
  <si>
    <t>ObjectRotateGallery:</t>
  </si>
  <si>
    <t>ObjectRotationOptionsDialog:</t>
  </si>
  <si>
    <t>SelectionPane:</t>
  </si>
  <si>
    <t>ShapeQuickStylesHome:</t>
  </si>
  <si>
    <t>形状快速样式主页</t>
  </si>
  <si>
    <t>ShapeStylesOtherThemeFillsGallery:</t>
  </si>
  <si>
    <t>ShapeFillColorPicker:</t>
  </si>
  <si>
    <t>ObjectFillMoreColorsDialog:</t>
  </si>
  <si>
    <t>对象填充更多颜色对话框</t>
  </si>
  <si>
    <t>EyedropperFill:</t>
  </si>
  <si>
    <t>吸取填充颜色</t>
  </si>
  <si>
    <t>ObjectPictureFill:</t>
  </si>
  <si>
    <t>GradientGallery:</t>
  </si>
  <si>
    <t>ShapeFillMoreGradientsDialog:</t>
  </si>
  <si>
    <t>ShapeFillTextureGallery:</t>
  </si>
  <si>
    <t>MoreTextureOptions:</t>
  </si>
  <si>
    <t>ShapeOutlineColorPicker:</t>
  </si>
  <si>
    <t>ObjectBorderOutlineColorMoreColorsDialog:</t>
  </si>
  <si>
    <t>EyedropperOutline:</t>
  </si>
  <si>
    <t>吸取边框/轮廓颜色</t>
  </si>
  <si>
    <t>OutlineWeightGallery:</t>
  </si>
  <si>
    <t>轮廓粗细图库</t>
  </si>
  <si>
    <t>LineStylesDialog:</t>
  </si>
  <si>
    <t>OutlineDashesGallery:</t>
  </si>
  <si>
    <t>轮廓虚线图库</t>
  </si>
  <si>
    <t>ArrowStyleGallery:</t>
  </si>
  <si>
    <t>ArrowsMore:</t>
  </si>
  <si>
    <t>ShapeEffectsMenu:</t>
  </si>
  <si>
    <t>ObjectEffectPresetGallery:</t>
  </si>
  <si>
    <t>对象效果预设图库</t>
  </si>
  <si>
    <t>_3DBevelOptionsDialog:</t>
  </si>
  <si>
    <t>ObjectEffectShadowGallery:</t>
  </si>
  <si>
    <t>对象阴影效果图库</t>
  </si>
  <si>
    <t>ShadowOptionsDialog:</t>
  </si>
  <si>
    <t>ReflectionGallery:</t>
  </si>
  <si>
    <t>ReflectionsMoreOptions:</t>
  </si>
  <si>
    <t>ObjectEffectGlowGallery:</t>
  </si>
  <si>
    <t>对象发光效果图库</t>
  </si>
  <si>
    <t>GlowColorPicker:</t>
  </si>
  <si>
    <t>GlowColorMoreColorsDialog:</t>
  </si>
  <si>
    <t>EyedropperGlow:</t>
  </si>
  <si>
    <t>吸取发光颜色</t>
  </si>
  <si>
    <t>GlowsMoreOptions:</t>
  </si>
  <si>
    <t>ObjectEffectSoftEdgesGallery:</t>
  </si>
  <si>
    <t>对象柔化边缘效果图库</t>
  </si>
  <si>
    <t>SoftEdgesMoreOptions:</t>
  </si>
  <si>
    <t>BevelShapeGallery:</t>
  </si>
  <si>
    <t>倒角形状图库</t>
  </si>
  <si>
    <t>_3DRotationGallery:</t>
  </si>
  <si>
    <t>_3DRotationOptionsDialog:</t>
  </si>
  <si>
    <t>ObjectFormatDialog:</t>
  </si>
  <si>
    <t>GroupEditing:</t>
  </si>
  <si>
    <t>FindDialog:</t>
  </si>
  <si>
    <t>ReplaceMenu:</t>
  </si>
  <si>
    <t>ReplaceDialog:</t>
  </si>
  <si>
    <t>FontsReplaceFonts:</t>
  </si>
  <si>
    <t>替换字体</t>
  </si>
  <si>
    <t>SelectMenu:</t>
  </si>
  <si>
    <t>SelectAll:</t>
  </si>
  <si>
    <t>ObjectsSelect:</t>
  </si>
  <si>
    <t>选择对象</t>
  </si>
  <si>
    <t>TabInsert:</t>
  </si>
  <si>
    <t>GroupSlides2:</t>
  </si>
  <si>
    <t>SlideNewGalleryInsert:</t>
  </si>
  <si>
    <t>DuplicateSelectedSlides:</t>
  </si>
  <si>
    <t>SlidesFromOutline:</t>
  </si>
  <si>
    <t>SlidesReuseSlides:</t>
  </si>
  <si>
    <t>GroupInsertTables:</t>
  </si>
  <si>
    <t>TableInsertGallery:</t>
  </si>
  <si>
    <t>TableInsert:</t>
  </si>
  <si>
    <t>TableDrawTable:</t>
  </si>
  <si>
    <t>ExcelSpreadsheetInsert:</t>
  </si>
  <si>
    <t>GroupImages:</t>
  </si>
  <si>
    <t>PictureInsertFromFilePowerPoint:</t>
  </si>
  <si>
    <t>ClipArtInsertDialog:</t>
  </si>
  <si>
    <t>ScreenshotInsertGallery:</t>
  </si>
  <si>
    <t>屏幕截图图库</t>
  </si>
  <si>
    <t>ScreenClipping:</t>
  </si>
  <si>
    <t>PhotoAlbumInsertMenu:</t>
  </si>
  <si>
    <t>PhotoAlbumInsert:</t>
  </si>
  <si>
    <t>PhotoAlbumEdit:</t>
  </si>
  <si>
    <t>GroupInsertIllustrations:</t>
  </si>
  <si>
    <t>ShapesInsertGallery:</t>
  </si>
  <si>
    <t>SmartArtInsert:</t>
  </si>
  <si>
    <t>ChartInsert:</t>
  </si>
  <si>
    <t>GroupOfficeExtension:</t>
  </si>
  <si>
    <t>OfficeExtensionsAppStore:</t>
  </si>
  <si>
    <t>应用商店</t>
  </si>
  <si>
    <t>OfficeExtensionsGallery2:</t>
  </si>
  <si>
    <t>扩展库</t>
  </si>
  <si>
    <t>OfficeExtensionsDialog:</t>
  </si>
  <si>
    <t>OfficeExtensionsManageOtherAddins:</t>
  </si>
  <si>
    <t>管理其他加载项</t>
  </si>
  <si>
    <t>OfficeExtensionsFeaturedApp1:</t>
  </si>
  <si>
    <t>OfficeExtensionsFeaturedApp2:</t>
  </si>
  <si>
    <t>OfficeExtensionsFeaturedApp3:</t>
  </si>
  <si>
    <t>OfficeExtensionsFeaturedApp4:</t>
  </si>
  <si>
    <t>OfficeExtensionsFeaturedApp5:</t>
  </si>
  <si>
    <t>OfficeExtensionsFeaturedApp6:</t>
  </si>
  <si>
    <t>GroupInsertLinks:</t>
  </si>
  <si>
    <t>HyperlinkInsert:</t>
  </si>
  <si>
    <t>ActionInsert:</t>
  </si>
  <si>
    <t>插入动作</t>
  </si>
  <si>
    <t>GroupInsertComments:</t>
  </si>
  <si>
    <t>插入批注分组</t>
  </si>
  <si>
    <t>InsertNewComment:</t>
  </si>
  <si>
    <t>插入新批注</t>
  </si>
  <si>
    <t>GroupInsertText:</t>
  </si>
  <si>
    <t>TextBoxInsert:</t>
  </si>
  <si>
    <t>插入文本</t>
  </si>
  <si>
    <t>TextBoxInsertMenu:</t>
  </si>
  <si>
    <t>文本框插入菜单</t>
  </si>
  <si>
    <t>TextBoxInsertHorizontal:</t>
  </si>
  <si>
    <t>水平文本框插入</t>
  </si>
  <si>
    <t>TextBoxInsertVertical:</t>
  </si>
  <si>
    <t>垂直文本框插入</t>
  </si>
  <si>
    <t>HeaderFooterInsert:</t>
  </si>
  <si>
    <t>形状样式其他主题填充图库</t>
  </si>
  <si>
    <t>形状填充更多渐变对话框</t>
  </si>
  <si>
    <t>形状填充纹理图库</t>
  </si>
  <si>
    <t>对象边框/轮廓颜色更多颜色对话框</t>
  </si>
  <si>
    <t>3D倒角选项对话框</t>
  </si>
  <si>
    <t>发光颜色更多颜色对话框</t>
  </si>
  <si>
    <t>3D旋转图库</t>
  </si>
  <si>
    <t>3D旋转选项对话框</t>
  </si>
  <si>
    <t>新建幻灯片图库插入</t>
  </si>
  <si>
    <t>插入Excel</t>
  </si>
  <si>
    <t>Office扩展分组</t>
  </si>
  <si>
    <t>推荐应用1</t>
  </si>
  <si>
    <t>推荐应用2</t>
  </si>
  <si>
    <t>推荐应用3</t>
  </si>
  <si>
    <t>推荐应用4</t>
  </si>
  <si>
    <t>推荐应用5</t>
  </si>
  <si>
    <t>推荐应用6</t>
  </si>
  <si>
    <t/>
  </si>
  <si>
    <t>AlignDistributeHorizontally</t>
    <phoneticPr fontId="2" type="noConversion"/>
  </si>
  <si>
    <t>AlignDistributeVertically</t>
    <phoneticPr fontId="2" type="noConversion"/>
  </si>
  <si>
    <t>3D旋转行为对话框</t>
    <phoneticPr fontId="2" type="noConversion"/>
  </si>
  <si>
    <t>ClipArtInsertDialog</t>
  </si>
  <si>
    <t xml:space="preserve">    pptApp := ComObjActive("PowerPoint.Application")</t>
    <phoneticPr fontId="2" type="noConversion"/>
  </si>
  <si>
    <t>a1</t>
    <phoneticPr fontId="2" type="noConversion"/>
  </si>
  <si>
    <t>}</t>
    <phoneticPr fontId="2" type="noConversion"/>
  </si>
  <si>
    <t>b1</t>
    <phoneticPr fontId="2" type="noConversion"/>
  </si>
  <si>
    <t>c1</t>
    <phoneticPr fontId="2" type="noConversion"/>
  </si>
  <si>
    <t>d1</t>
    <phoneticPr fontId="2" type="noConversion"/>
  </si>
  <si>
    <r>
      <rPr>
        <sz val="12"/>
        <color theme="1"/>
        <rFont val="阿里巴巴普惠体 2.0 65 Medium"/>
        <family val="1"/>
        <charset val="134"/>
      </rPr>
      <t>序号</t>
    </r>
    <phoneticPr fontId="2" type="noConversion"/>
  </si>
  <si>
    <r>
      <t xml:space="preserve"> </t>
    </r>
    <r>
      <rPr>
        <sz val="12"/>
        <color theme="1"/>
        <rFont val="阿里巴巴普惠体 2.0 65 Medium"/>
        <family val="1"/>
        <charset val="134"/>
      </rPr>
      <t>函数名</t>
    </r>
    <r>
      <rPr>
        <sz val="12"/>
        <color theme="1"/>
        <rFont val="zGilroy-Medium"/>
      </rPr>
      <t xml:space="preserve">                         </t>
    </r>
    <phoneticPr fontId="2" type="noConversion"/>
  </si>
  <si>
    <r>
      <t xml:space="preserve"> </t>
    </r>
    <r>
      <rPr>
        <sz val="12"/>
        <color theme="1"/>
        <rFont val="阿里巴巴普惠体 2.0 65 Medium"/>
        <family val="1"/>
        <charset val="134"/>
      </rPr>
      <t>注释</t>
    </r>
    <r>
      <rPr>
        <sz val="12"/>
        <color theme="1"/>
        <rFont val="zGilroy-Medium"/>
      </rPr>
      <t xml:space="preserve">                                           </t>
    </r>
  </si>
  <si>
    <r>
      <rPr>
        <sz val="11"/>
        <color theme="1"/>
        <rFont val="阿里巴巴普惠体 2.0 65 Medium"/>
        <family val="1"/>
        <charset val="134"/>
      </rPr>
      <t>打开新的空白演示文稿</t>
    </r>
  </si>
  <si>
    <r>
      <rPr>
        <sz val="11"/>
        <color theme="1"/>
        <rFont val="阿里巴巴普惠体 2.0 65 Medium"/>
        <family val="1"/>
        <charset val="134"/>
      </rPr>
      <t>使用后台打开文件</t>
    </r>
  </si>
  <si>
    <r>
      <rPr>
        <sz val="11"/>
        <color theme="1"/>
        <rFont val="阿里巴巴普惠体 2.0 65 Medium"/>
        <family val="1"/>
        <charset val="134"/>
      </rPr>
      <t>保存当前演示文稿</t>
    </r>
  </si>
  <si>
    <r>
      <rPr>
        <sz val="11"/>
        <color theme="1"/>
        <rFont val="阿里巴巴普惠体 2.0 65 Medium"/>
        <family val="1"/>
        <charset val="134"/>
      </rPr>
      <t>将演示文稿作为附件发送</t>
    </r>
  </si>
  <si>
    <r>
      <rPr>
        <sz val="11"/>
        <color theme="1"/>
        <rFont val="阿里巴巴普惠体 2.0 65 Medium"/>
        <family val="1"/>
        <charset val="134"/>
      </rPr>
      <t>快速打印演示文稿</t>
    </r>
  </si>
  <si>
    <r>
      <rPr>
        <sz val="11"/>
        <color theme="1"/>
        <rFont val="阿里巴巴普惠体 2.0 65 Medium"/>
        <family val="1"/>
        <charset val="134"/>
      </rPr>
      <t>打印预览并打印</t>
    </r>
  </si>
  <si>
    <r>
      <rPr>
        <sz val="11"/>
        <color theme="1"/>
        <rFont val="阿里巴巴普惠体 2.0 65 Medium"/>
        <family val="1"/>
        <charset val="134"/>
      </rPr>
      <t>拼写检查</t>
    </r>
  </si>
  <si>
    <r>
      <rPr>
        <sz val="11"/>
        <color theme="1"/>
        <rFont val="阿里巴巴普惠体 2.0 65 Medium"/>
        <family val="1"/>
        <charset val="134"/>
      </rPr>
      <t>撤销上一次操作</t>
    </r>
  </si>
  <si>
    <r>
      <rPr>
        <sz val="11"/>
        <color theme="1"/>
        <rFont val="阿里巴巴普惠体 2.0 65 Medium"/>
        <family val="1"/>
        <charset val="134"/>
      </rPr>
      <t>重复或重做上一次操作</t>
    </r>
  </si>
  <si>
    <r>
      <rPr>
        <sz val="11"/>
        <color theme="1"/>
        <rFont val="阿里巴巴普惠体 2.0 65 Medium"/>
        <family val="1"/>
        <charset val="134"/>
      </rPr>
      <t>从头开始放映演示文稿</t>
    </r>
  </si>
  <si>
    <r>
      <rPr>
        <sz val="11"/>
        <color theme="1"/>
        <rFont val="阿里巴巴普惠体 2.0 65 Medium"/>
        <family val="1"/>
        <charset val="134"/>
      </rPr>
      <t>粘贴</t>
    </r>
  </si>
  <si>
    <r>
      <rPr>
        <sz val="11"/>
        <color theme="1"/>
        <rFont val="阿里巴巴普惠体 2.0 65 Medium"/>
        <family val="1"/>
        <charset val="134"/>
      </rPr>
      <t>粘贴特殊对话框</t>
    </r>
  </si>
  <si>
    <r>
      <rPr>
        <sz val="11"/>
        <color theme="1"/>
        <rFont val="阿里巴巴普惠体 2.0 65 Medium"/>
        <family val="1"/>
        <charset val="134"/>
      </rPr>
      <t>剪切</t>
    </r>
  </si>
  <si>
    <r>
      <rPr>
        <sz val="11"/>
        <color theme="1"/>
        <rFont val="阿里巴巴普惠体 2.0 65 Medium"/>
        <family val="1"/>
        <charset val="134"/>
      </rPr>
      <t>复制</t>
    </r>
  </si>
  <si>
    <r>
      <rPr>
        <sz val="11"/>
        <color theme="1"/>
        <rFont val="阿里巴巴普惠体 2.0 65 Medium"/>
        <family val="1"/>
        <charset val="134"/>
      </rPr>
      <t>粘贴副本</t>
    </r>
  </si>
  <si>
    <r>
      <rPr>
        <sz val="11"/>
        <color theme="1"/>
        <rFont val="阿里巴巴普惠体 2.0 65 Medium"/>
        <family val="1"/>
        <charset val="134"/>
      </rPr>
      <t>格式刷</t>
    </r>
  </si>
  <si>
    <r>
      <rPr>
        <sz val="11"/>
        <color theme="1"/>
        <rFont val="阿里巴巴普惠体 2.0 65 Medium"/>
        <family val="1"/>
        <charset val="134"/>
      </rPr>
      <t>显示剪贴板</t>
    </r>
  </si>
  <si>
    <r>
      <rPr>
        <sz val="11"/>
        <color theme="1"/>
        <rFont val="阿里巴巴普惠体 2.0 65 Medium"/>
        <family val="1"/>
        <charset val="134"/>
      </rPr>
      <t>幻灯片分组</t>
    </r>
  </si>
  <si>
    <r>
      <rPr>
        <sz val="11"/>
        <color theme="1"/>
        <rFont val="阿里巴巴普惠体 2.0 65 Medium"/>
        <family val="1"/>
        <charset val="134"/>
      </rPr>
      <t>复制所选幻灯片</t>
    </r>
  </si>
  <si>
    <r>
      <rPr>
        <sz val="11"/>
        <color theme="1"/>
        <rFont val="阿里巴巴普惠体 2.0 65 Medium"/>
        <family val="1"/>
        <charset val="134"/>
      </rPr>
      <t>从大纲生成幻灯片</t>
    </r>
  </si>
  <si>
    <r>
      <rPr>
        <sz val="11"/>
        <color theme="1"/>
        <rFont val="阿里巴巴普惠体 2.0 65 Medium"/>
        <family val="1"/>
        <charset val="134"/>
      </rPr>
      <t>重置幻灯片</t>
    </r>
  </si>
  <si>
    <r>
      <rPr>
        <sz val="11"/>
        <color theme="1"/>
        <rFont val="阿里巴巴普惠体 2.0 65 Medium"/>
        <family val="1"/>
        <charset val="134"/>
      </rPr>
      <t>添加分区</t>
    </r>
  </si>
  <si>
    <r>
      <rPr>
        <sz val="11"/>
        <color theme="1"/>
        <rFont val="阿里巴巴普惠体 2.0 65 Medium"/>
        <family val="1"/>
        <charset val="134"/>
      </rPr>
      <t>重命名分区</t>
    </r>
  </si>
  <si>
    <r>
      <rPr>
        <sz val="11"/>
        <color theme="1"/>
        <rFont val="阿里巴巴普惠体 2.0 65 Medium"/>
        <family val="1"/>
        <charset val="134"/>
      </rPr>
      <t>合并到前一个分区</t>
    </r>
  </si>
  <si>
    <r>
      <rPr>
        <sz val="11"/>
        <color theme="1"/>
        <rFont val="阿里巴巴普惠体 2.0 65 Medium"/>
        <family val="1"/>
        <charset val="134"/>
      </rPr>
      <t>移除所有分区</t>
    </r>
  </si>
  <si>
    <r>
      <rPr>
        <sz val="11"/>
        <color theme="1"/>
        <rFont val="阿里巴巴普惠体 2.0 65 Medium"/>
        <family val="1"/>
        <charset val="134"/>
      </rPr>
      <t>折叠所有分区</t>
    </r>
  </si>
  <si>
    <r>
      <rPr>
        <sz val="11"/>
        <color theme="1"/>
        <rFont val="阿里巴巴普惠体 2.0 65 Medium"/>
        <family val="1"/>
        <charset val="134"/>
      </rPr>
      <t>展开所有分区</t>
    </r>
  </si>
  <si>
    <r>
      <rPr>
        <sz val="11"/>
        <color theme="1"/>
        <rFont val="阿里巴巴普惠体 2.0 65 Medium"/>
        <family val="1"/>
        <charset val="134"/>
      </rPr>
      <t>增大字号</t>
    </r>
  </si>
  <si>
    <r>
      <rPr>
        <sz val="11"/>
        <color theme="1"/>
        <rFont val="阿里巴巴普惠体 2.0 65 Medium"/>
        <family val="1"/>
        <charset val="134"/>
      </rPr>
      <t>减小字号</t>
    </r>
  </si>
  <si>
    <r>
      <rPr>
        <sz val="11"/>
        <color theme="1"/>
        <rFont val="阿里巴巴普惠体 2.0 65 Medium"/>
        <family val="1"/>
        <charset val="134"/>
      </rPr>
      <t>清除格式</t>
    </r>
  </si>
  <si>
    <r>
      <rPr>
        <sz val="11"/>
        <color theme="1"/>
        <rFont val="阿里巴巴普惠体 2.0 65 Medium"/>
        <family val="1"/>
        <charset val="134"/>
      </rPr>
      <t>加粗</t>
    </r>
  </si>
  <si>
    <r>
      <rPr>
        <sz val="11"/>
        <color theme="1"/>
        <rFont val="阿里巴巴普惠体 2.0 65 Medium"/>
        <family val="1"/>
        <charset val="134"/>
      </rPr>
      <t>斜体</t>
    </r>
  </si>
  <si>
    <r>
      <rPr>
        <sz val="11"/>
        <color theme="1"/>
        <rFont val="阿里巴巴普惠体 2.0 65 Medium"/>
        <family val="1"/>
        <charset val="134"/>
      </rPr>
      <t>下划线</t>
    </r>
  </si>
  <si>
    <r>
      <rPr>
        <sz val="11"/>
        <color theme="1"/>
        <rFont val="阿里巴巴普惠体 2.0 65 Medium"/>
        <family val="1"/>
        <charset val="134"/>
      </rPr>
      <t>阴影</t>
    </r>
  </si>
  <si>
    <r>
      <rPr>
        <sz val="11"/>
        <color theme="1"/>
        <rFont val="阿里巴巴普惠体 2.0 65 Medium"/>
        <family val="1"/>
        <charset val="134"/>
      </rPr>
      <t>删除线</t>
    </r>
  </si>
  <si>
    <r>
      <rPr>
        <sz val="11"/>
        <color theme="1"/>
        <rFont val="阿里巴巴普惠体 2.0 65 Medium"/>
        <family val="1"/>
        <charset val="134"/>
      </rPr>
      <t>字体颜色更多颜色对话框</t>
    </r>
  </si>
  <si>
    <r>
      <rPr>
        <sz val="11"/>
        <color theme="1"/>
        <rFont val="阿里巴巴普惠体 2.0 65 Medium"/>
        <family val="1"/>
        <charset val="134"/>
      </rPr>
      <t>吸管填充文本</t>
    </r>
  </si>
  <si>
    <r>
      <rPr>
        <sz val="11"/>
        <color theme="1"/>
        <rFont val="阿里巴巴普惠体 2.0 65 Medium"/>
        <family val="1"/>
        <charset val="134"/>
      </rPr>
      <t>字体对话框</t>
    </r>
  </si>
  <si>
    <r>
      <rPr>
        <sz val="11"/>
        <color theme="1"/>
        <rFont val="阿里巴巴普惠体 2.0 65 Medium"/>
        <family val="1"/>
        <charset val="134"/>
      </rPr>
      <t>段落分组</t>
    </r>
  </si>
  <si>
    <r>
      <rPr>
        <sz val="11"/>
        <color theme="1"/>
        <rFont val="阿里巴巴普惠体 2.0 65 Medium"/>
        <family val="1"/>
        <charset val="134"/>
      </rPr>
      <t>项目符号图库</t>
    </r>
  </si>
  <si>
    <r>
      <rPr>
        <sz val="11"/>
        <color theme="1"/>
        <rFont val="阿里巴巴普惠体 2.0 65 Medium"/>
        <family val="1"/>
        <charset val="134"/>
      </rPr>
      <t>项目符号和编号项目符号对话框</t>
    </r>
  </si>
  <si>
    <r>
      <rPr>
        <sz val="11"/>
        <color theme="1"/>
        <rFont val="阿里巴巴普惠体 2.0 65 Medium"/>
        <family val="1"/>
        <charset val="134"/>
      </rPr>
      <t>编号图库</t>
    </r>
  </si>
  <si>
    <r>
      <rPr>
        <sz val="11"/>
        <color theme="1"/>
        <rFont val="阿里巴巴普惠体 2.0 65 Medium"/>
        <family val="1"/>
        <charset val="134"/>
      </rPr>
      <t>项目符号和编号编号对话框</t>
    </r>
  </si>
  <si>
    <r>
      <rPr>
        <sz val="11"/>
        <color theme="1"/>
        <rFont val="阿里巴巴普惠体 2.0 65 Medium"/>
        <family val="1"/>
        <charset val="134"/>
      </rPr>
      <t>减少缩进</t>
    </r>
  </si>
  <si>
    <r>
      <rPr>
        <sz val="11"/>
        <color theme="1"/>
        <rFont val="阿里巴巴普惠体 2.0 65 Medium"/>
        <family val="1"/>
        <charset val="134"/>
      </rPr>
      <t>增加缩进</t>
    </r>
  </si>
  <si>
    <r>
      <rPr>
        <sz val="11"/>
        <color theme="1"/>
        <rFont val="阿里巴巴普惠体 2.0 65 Medium"/>
        <family val="1"/>
        <charset val="134"/>
      </rPr>
      <t>行距图库</t>
    </r>
  </si>
  <si>
    <r>
      <rPr>
        <sz val="11"/>
        <color theme="1"/>
        <rFont val="阿里巴巴普惠体 2.0 65 Medium"/>
        <family val="1"/>
        <charset val="134"/>
      </rPr>
      <t>左对齐</t>
    </r>
  </si>
  <si>
    <r>
      <rPr>
        <sz val="11"/>
        <color theme="1"/>
        <rFont val="阿里巴巴普惠体 2.0 65 Medium"/>
        <family val="1"/>
        <charset val="134"/>
      </rPr>
      <t>居中对齐</t>
    </r>
  </si>
  <si>
    <r>
      <rPr>
        <sz val="11"/>
        <color theme="1"/>
        <rFont val="阿里巴巴普惠体 2.0 65 Medium"/>
        <family val="1"/>
        <charset val="134"/>
      </rPr>
      <t>右对齐</t>
    </r>
  </si>
  <si>
    <r>
      <rPr>
        <sz val="11"/>
        <color theme="1"/>
        <rFont val="阿里巴巴普惠体 2.0 65 Medium"/>
        <family val="1"/>
        <charset val="134"/>
      </rPr>
      <t>两端对齐</t>
    </r>
  </si>
  <si>
    <r>
      <rPr>
        <sz val="11"/>
        <color theme="1"/>
        <rFont val="阿里巴巴普惠体 2.0 65 Medium"/>
        <family val="1"/>
        <charset val="134"/>
      </rPr>
      <t>两端对齐菜单</t>
    </r>
  </si>
  <si>
    <r>
      <rPr>
        <sz val="11"/>
        <color theme="1"/>
        <rFont val="阿里巴巴普惠体 2.0 65 Medium"/>
        <family val="1"/>
        <charset val="134"/>
      </rPr>
      <t>混合语言两端对齐</t>
    </r>
  </si>
  <si>
    <r>
      <rPr>
        <sz val="11"/>
        <color theme="1"/>
        <rFont val="阿里巴巴普惠体 2.0 65 Medium"/>
        <family val="1"/>
        <charset val="134"/>
      </rPr>
      <t>低级两端对齐</t>
    </r>
  </si>
  <si>
    <r>
      <rPr>
        <sz val="11"/>
        <color theme="1"/>
        <rFont val="阿里巴巴普惠体 2.0 65 Medium"/>
        <family val="1"/>
        <charset val="134"/>
      </rPr>
      <t>分散对齐</t>
    </r>
  </si>
  <si>
    <r>
      <rPr>
        <sz val="11"/>
        <color theme="1"/>
        <rFont val="阿里巴巴普惠体 2.0 65 Medium"/>
        <family val="1"/>
        <charset val="134"/>
      </rPr>
      <t>泰语两端对齐</t>
    </r>
  </si>
  <si>
    <r>
      <rPr>
        <sz val="11"/>
        <color theme="1"/>
        <rFont val="阿里巴巴普惠体 2.0 65 Medium"/>
        <family val="1"/>
        <charset val="134"/>
      </rPr>
      <t>文本方向从左到右</t>
    </r>
  </si>
  <si>
    <r>
      <rPr>
        <sz val="11"/>
        <color theme="1"/>
        <rFont val="阿里巴巴普惠体 2.0 65 Medium"/>
        <family val="1"/>
        <charset val="134"/>
      </rPr>
      <t>文本方向从右到左</t>
    </r>
  </si>
  <si>
    <r>
      <rPr>
        <sz val="11"/>
        <color theme="1"/>
        <rFont val="阿里巴巴普惠体 2.0 65 Medium"/>
        <family val="1"/>
        <charset val="134"/>
      </rPr>
      <t>表格列图库</t>
    </r>
  </si>
  <si>
    <r>
      <rPr>
        <sz val="11"/>
        <color theme="1"/>
        <rFont val="阿里巴巴普惠体 2.0 65 Medium"/>
        <family val="1"/>
        <charset val="134"/>
      </rPr>
      <t>段落更多列对话框</t>
    </r>
  </si>
  <si>
    <r>
      <rPr>
        <sz val="11"/>
        <color theme="1"/>
        <rFont val="阿里巴巴普惠体 2.0 65 Medium"/>
        <family val="1"/>
        <charset val="134"/>
      </rPr>
      <t>文本方向图库</t>
    </r>
  </si>
  <si>
    <r>
      <rPr>
        <sz val="11"/>
        <color theme="1"/>
        <rFont val="阿里巴巴普惠体 2.0 65 Medium"/>
        <family val="1"/>
        <charset val="134"/>
      </rPr>
      <t>文本方向更多选项对话框</t>
    </r>
  </si>
  <si>
    <r>
      <rPr>
        <sz val="11"/>
        <color theme="1"/>
        <rFont val="阿里巴巴普惠体 2.0 65 Medium"/>
        <family val="1"/>
        <charset val="134"/>
      </rPr>
      <t>文本对齐图库</t>
    </r>
  </si>
  <si>
    <r>
      <rPr>
        <sz val="11"/>
        <color theme="1"/>
        <rFont val="阿里巴巴普惠体 2.0 65 Medium"/>
        <family val="1"/>
        <charset val="134"/>
      </rPr>
      <t>文本对齐更多选项对话框</t>
    </r>
  </si>
  <si>
    <r>
      <rPr>
        <sz val="11"/>
        <color theme="1"/>
        <rFont val="阿里巴巴普惠体 2.0 65 Medium"/>
        <family val="1"/>
        <charset val="134"/>
      </rPr>
      <t>转换为智能图形</t>
    </r>
  </si>
  <si>
    <r>
      <rPr>
        <sz val="11"/>
        <color theme="1"/>
        <rFont val="阿里巴巴普惠体 2.0 65 Medium"/>
        <family val="1"/>
        <charset val="134"/>
      </rPr>
      <t>转换为智能图形更多智能图形对话框</t>
    </r>
  </si>
  <si>
    <r>
      <rPr>
        <sz val="11"/>
        <color theme="1"/>
        <rFont val="阿里巴巴普惠体 2.0 65 Medium"/>
        <family val="1"/>
        <charset val="134"/>
      </rPr>
      <t>组织绘图</t>
    </r>
  </si>
  <si>
    <r>
      <rPr>
        <sz val="11"/>
        <color theme="1"/>
        <rFont val="阿里巴巴普惠体 2.0 65 Medium"/>
        <family val="1"/>
        <charset val="134"/>
      </rPr>
      <t>图库</t>
    </r>
    <r>
      <rPr>
        <sz val="11"/>
        <color theme="1"/>
        <rFont val="zGilroy-Medium"/>
      </rPr>
      <t>-</t>
    </r>
    <r>
      <rPr>
        <sz val="11"/>
        <color theme="1"/>
        <rFont val="阿里巴巴普惠体 2.0 65 Medium"/>
        <family val="1"/>
        <charset val="134"/>
      </rPr>
      <t>所有形状和文本框</t>
    </r>
  </si>
  <si>
    <r>
      <rPr>
        <sz val="11"/>
        <color theme="1"/>
        <rFont val="阿里巴巴普惠体 2.0 65 Medium"/>
        <family val="1"/>
        <charset val="134"/>
      </rPr>
      <t>对象排列菜单</t>
    </r>
  </si>
  <si>
    <r>
      <rPr>
        <sz val="11"/>
        <color theme="1"/>
        <rFont val="阿里巴巴普惠体 2.0 65 Medium"/>
        <family val="1"/>
        <charset val="134"/>
      </rPr>
      <t>将对象置于前面</t>
    </r>
  </si>
  <si>
    <r>
      <rPr>
        <sz val="11"/>
        <color theme="1"/>
        <rFont val="阿里巴巴普惠体 2.0 65 Medium"/>
        <family val="1"/>
        <charset val="134"/>
      </rPr>
      <t>将对象置于后面</t>
    </r>
  </si>
  <si>
    <r>
      <rPr>
        <sz val="11"/>
        <color theme="1"/>
        <rFont val="阿里巴巴普惠体 2.0 65 Medium"/>
        <family val="1"/>
        <charset val="134"/>
      </rPr>
      <t>将对象向前移动一层</t>
    </r>
  </si>
  <si>
    <r>
      <rPr>
        <sz val="11"/>
        <color theme="1"/>
        <rFont val="阿里巴巴普惠体 2.0 65 Medium"/>
        <family val="1"/>
        <charset val="134"/>
      </rPr>
      <t>将对象向后移动一层</t>
    </r>
  </si>
  <si>
    <r>
      <rPr>
        <sz val="11"/>
        <color theme="1"/>
        <rFont val="阿里巴巴普惠体 2.0 65 Medium"/>
        <family val="1"/>
        <charset val="134"/>
      </rPr>
      <t>对象分组</t>
    </r>
  </si>
  <si>
    <r>
      <rPr>
        <sz val="11"/>
        <color theme="1"/>
        <rFont val="阿里巴巴普惠体 2.0 65 Medium"/>
        <family val="1"/>
        <charset val="134"/>
      </rPr>
      <t>对象取消分组</t>
    </r>
  </si>
  <si>
    <r>
      <rPr>
        <sz val="11"/>
        <color theme="1"/>
        <rFont val="阿里巴巴普惠体 2.0 65 Medium"/>
        <family val="1"/>
        <charset val="134"/>
      </rPr>
      <t>对象重新分组</t>
    </r>
  </si>
  <si>
    <r>
      <rPr>
        <sz val="11"/>
        <color theme="1"/>
        <rFont val="阿里巴巴普惠体 2.0 65 Medium"/>
        <family val="1"/>
        <charset val="134"/>
      </rPr>
      <t>对齐菜单</t>
    </r>
  </si>
  <si>
    <r>
      <rPr>
        <sz val="11"/>
        <color theme="1"/>
        <rFont val="阿里巴巴普惠体 2.0 65 Medium"/>
        <family val="1"/>
        <charset val="134"/>
      </rPr>
      <t>智能对齐</t>
    </r>
    <r>
      <rPr>
        <sz val="11"/>
        <color theme="1"/>
        <rFont val="zGilroy-Medium"/>
      </rPr>
      <t>-</t>
    </r>
    <r>
      <rPr>
        <sz val="11"/>
        <color theme="1"/>
        <rFont val="阿里巴巴普惠体 2.0 65 Medium"/>
        <family val="1"/>
        <charset val="134"/>
      </rPr>
      <t>左对齐</t>
    </r>
  </si>
  <si>
    <r>
      <rPr>
        <sz val="11"/>
        <color theme="1"/>
        <rFont val="阿里巴巴普惠体 2.0 65 Medium"/>
        <family val="1"/>
        <charset val="134"/>
      </rPr>
      <t>在水平方向上分布对齐对象</t>
    </r>
  </si>
  <si>
    <r>
      <rPr>
        <sz val="11"/>
        <color theme="1"/>
        <rFont val="阿里巴巴普惠体 2.0 65 Medium"/>
        <family val="1"/>
        <charset val="134"/>
      </rPr>
      <t>在垂直方向上分布对齐对象</t>
    </r>
  </si>
  <si>
    <r>
      <rPr>
        <sz val="11"/>
        <color theme="1"/>
        <rFont val="阿里巴巴普惠体 2.0 65 Medium"/>
        <family val="1"/>
        <charset val="134"/>
      </rPr>
      <t>将对象相对于容器进行智能对齐</t>
    </r>
  </si>
  <si>
    <r>
      <rPr>
        <sz val="11"/>
        <color theme="1"/>
        <rFont val="阿里巴巴普惠体 2.0 65 Medium"/>
        <family val="1"/>
        <charset val="134"/>
      </rPr>
      <t>对选定的对象进行智能对齐</t>
    </r>
  </si>
  <si>
    <r>
      <rPr>
        <sz val="11"/>
        <color theme="1"/>
        <rFont val="阿里巴巴普惠体 2.0 65 Medium"/>
        <family val="1"/>
        <charset val="134"/>
      </rPr>
      <t>对象旋转图库</t>
    </r>
  </si>
  <si>
    <r>
      <rPr>
        <sz val="11"/>
        <color theme="1"/>
        <rFont val="阿里巴巴普惠体 2.0 65 Medium"/>
        <family val="1"/>
        <charset val="134"/>
      </rPr>
      <t>对象旋转选项对话框</t>
    </r>
  </si>
  <si>
    <r>
      <rPr>
        <sz val="11"/>
        <color theme="1"/>
        <rFont val="阿里巴巴普惠体 2.0 65 Medium"/>
        <family val="1"/>
        <charset val="134"/>
      </rPr>
      <t>选择窗格</t>
    </r>
  </si>
  <si>
    <r>
      <rPr>
        <sz val="11"/>
        <color theme="1"/>
        <rFont val="阿里巴巴普惠体 2.0 65 Medium"/>
        <family val="1"/>
        <charset val="134"/>
      </rPr>
      <t>形状快速样式主页</t>
    </r>
  </si>
  <si>
    <r>
      <rPr>
        <sz val="11"/>
        <color theme="1"/>
        <rFont val="阿里巴巴普惠体 2.0 65 Medium"/>
        <family val="1"/>
        <charset val="134"/>
      </rPr>
      <t>形状样式其他主题填充图库</t>
    </r>
  </si>
  <si>
    <r>
      <rPr>
        <sz val="11"/>
        <color theme="1"/>
        <rFont val="阿里巴巴普惠体 2.0 65 Medium"/>
        <family val="1"/>
        <charset val="134"/>
      </rPr>
      <t>形状填充颜色选择器</t>
    </r>
  </si>
  <si>
    <r>
      <rPr>
        <sz val="11"/>
        <color theme="1"/>
        <rFont val="阿里巴巴普惠体 2.0 65 Medium"/>
        <family val="1"/>
        <charset val="134"/>
      </rPr>
      <t>对象填充更多颜色对话框</t>
    </r>
  </si>
  <si>
    <r>
      <rPr>
        <sz val="11"/>
        <color theme="1"/>
        <rFont val="阿里巴巴普惠体 2.0 65 Medium"/>
        <family val="1"/>
        <charset val="134"/>
      </rPr>
      <t>吸取填充颜色</t>
    </r>
  </si>
  <si>
    <r>
      <rPr>
        <sz val="11"/>
        <color theme="1"/>
        <rFont val="阿里巴巴普惠体 2.0 65 Medium"/>
        <family val="1"/>
        <charset val="134"/>
      </rPr>
      <t>对象图片填充</t>
    </r>
  </si>
  <si>
    <r>
      <rPr>
        <sz val="11"/>
        <color theme="1"/>
        <rFont val="阿里巴巴普惠体 2.0 65 Medium"/>
        <family val="1"/>
        <charset val="134"/>
      </rPr>
      <t>渐变图库</t>
    </r>
  </si>
  <si>
    <r>
      <rPr>
        <sz val="11"/>
        <color theme="1"/>
        <rFont val="阿里巴巴普惠体 2.0 65 Medium"/>
        <family val="1"/>
        <charset val="134"/>
      </rPr>
      <t>形状填充更多渐变对话框</t>
    </r>
  </si>
  <si>
    <r>
      <rPr>
        <sz val="11"/>
        <color theme="1"/>
        <rFont val="阿里巴巴普惠体 2.0 65 Medium"/>
        <family val="1"/>
        <charset val="134"/>
      </rPr>
      <t>形状填充纹理图库</t>
    </r>
  </si>
  <si>
    <r>
      <rPr>
        <sz val="11"/>
        <color theme="1"/>
        <rFont val="阿里巴巴普惠体 2.0 65 Medium"/>
        <family val="1"/>
        <charset val="134"/>
      </rPr>
      <t>更多纹理选项</t>
    </r>
  </si>
  <si>
    <r>
      <rPr>
        <sz val="11"/>
        <color theme="1"/>
        <rFont val="阿里巴巴普惠体 2.0 65 Medium"/>
        <family val="1"/>
        <charset val="134"/>
      </rPr>
      <t>形状轮廓颜色选择器</t>
    </r>
  </si>
  <si>
    <r>
      <rPr>
        <sz val="11"/>
        <color theme="1"/>
        <rFont val="阿里巴巴普惠体 2.0 65 Medium"/>
        <family val="1"/>
        <charset val="134"/>
      </rPr>
      <t>对象边框</t>
    </r>
    <r>
      <rPr>
        <sz val="11"/>
        <color theme="1"/>
        <rFont val="zGilroy-Medium"/>
      </rPr>
      <t>/</t>
    </r>
    <r>
      <rPr>
        <sz val="11"/>
        <color theme="1"/>
        <rFont val="阿里巴巴普惠体 2.0 65 Medium"/>
        <family val="1"/>
        <charset val="134"/>
      </rPr>
      <t>轮廓颜色更多颜色对话框</t>
    </r>
  </si>
  <si>
    <r>
      <rPr>
        <sz val="11"/>
        <color theme="1"/>
        <rFont val="阿里巴巴普惠体 2.0 65 Medium"/>
        <family val="1"/>
        <charset val="134"/>
      </rPr>
      <t>吸取边框</t>
    </r>
    <r>
      <rPr>
        <sz val="11"/>
        <color theme="1"/>
        <rFont val="zGilroy-Medium"/>
      </rPr>
      <t>/</t>
    </r>
    <r>
      <rPr>
        <sz val="11"/>
        <color theme="1"/>
        <rFont val="阿里巴巴普惠体 2.0 65 Medium"/>
        <family val="1"/>
        <charset val="134"/>
      </rPr>
      <t>轮廓颜色</t>
    </r>
  </si>
  <si>
    <r>
      <rPr>
        <sz val="11"/>
        <color theme="1"/>
        <rFont val="阿里巴巴普惠体 2.0 65 Medium"/>
        <family val="1"/>
        <charset val="134"/>
      </rPr>
      <t>轮廓粗细图库</t>
    </r>
  </si>
  <si>
    <r>
      <rPr>
        <sz val="11"/>
        <color theme="1"/>
        <rFont val="阿里巴巴普惠体 2.0 65 Medium"/>
        <family val="1"/>
        <charset val="134"/>
      </rPr>
      <t>线条样式对话框</t>
    </r>
  </si>
  <si>
    <r>
      <rPr>
        <sz val="11"/>
        <color theme="1"/>
        <rFont val="阿里巴巴普惠体 2.0 65 Medium"/>
        <family val="1"/>
        <charset val="134"/>
      </rPr>
      <t>轮廓虚线图库</t>
    </r>
  </si>
  <si>
    <r>
      <rPr>
        <sz val="11"/>
        <color theme="1"/>
        <rFont val="阿里巴巴普惠体 2.0 65 Medium"/>
        <family val="1"/>
        <charset val="134"/>
      </rPr>
      <t>箭头样式图库</t>
    </r>
  </si>
  <si>
    <r>
      <rPr>
        <sz val="11"/>
        <color theme="1"/>
        <rFont val="阿里巴巴普惠体 2.0 65 Medium"/>
        <family val="1"/>
        <charset val="134"/>
      </rPr>
      <t>更多箭头选项</t>
    </r>
  </si>
  <si>
    <r>
      <rPr>
        <sz val="11"/>
        <color theme="1"/>
        <rFont val="阿里巴巴普惠体 2.0 65 Medium"/>
        <family val="1"/>
        <charset val="134"/>
      </rPr>
      <t>形状效果菜单</t>
    </r>
  </si>
  <si>
    <r>
      <rPr>
        <sz val="11"/>
        <color theme="1"/>
        <rFont val="阿里巴巴普惠体 2.0 65 Medium"/>
        <family val="1"/>
        <charset val="134"/>
      </rPr>
      <t>对象效果预设图库</t>
    </r>
  </si>
  <si>
    <r>
      <t>3D</t>
    </r>
    <r>
      <rPr>
        <sz val="11"/>
        <color theme="1"/>
        <rFont val="阿里巴巴普惠体 2.0 65 Medium"/>
        <family val="1"/>
        <charset val="134"/>
      </rPr>
      <t>倒角选项对话框</t>
    </r>
  </si>
  <si>
    <r>
      <rPr>
        <sz val="11"/>
        <color theme="1"/>
        <rFont val="阿里巴巴普惠体 2.0 65 Medium"/>
        <family val="1"/>
        <charset val="134"/>
      </rPr>
      <t>对象阴影效果图库</t>
    </r>
  </si>
  <si>
    <r>
      <rPr>
        <sz val="11"/>
        <color theme="1"/>
        <rFont val="阿里巴巴普惠体 2.0 65 Medium"/>
        <family val="1"/>
        <charset val="134"/>
      </rPr>
      <t>阴影选项对话框</t>
    </r>
  </si>
  <si>
    <r>
      <rPr>
        <sz val="11"/>
        <color theme="1"/>
        <rFont val="阿里巴巴普惠体 2.0 65 Medium"/>
        <family val="1"/>
        <charset val="134"/>
      </rPr>
      <t>倒影图库</t>
    </r>
  </si>
  <si>
    <r>
      <rPr>
        <sz val="11"/>
        <color theme="1"/>
        <rFont val="阿里巴巴普惠体 2.0 65 Medium"/>
        <family val="1"/>
        <charset val="134"/>
      </rPr>
      <t>更多倒影选项</t>
    </r>
  </si>
  <si>
    <r>
      <rPr>
        <sz val="11"/>
        <color theme="1"/>
        <rFont val="阿里巴巴普惠体 2.0 65 Medium"/>
        <family val="1"/>
        <charset val="134"/>
      </rPr>
      <t>对象发光效果图库</t>
    </r>
  </si>
  <si>
    <r>
      <rPr>
        <sz val="11"/>
        <color theme="1"/>
        <rFont val="阿里巴巴普惠体 2.0 65 Medium"/>
        <family val="1"/>
        <charset val="134"/>
      </rPr>
      <t>发光颜色选择器</t>
    </r>
  </si>
  <si>
    <r>
      <rPr>
        <sz val="11"/>
        <color theme="1"/>
        <rFont val="阿里巴巴普惠体 2.0 65 Medium"/>
        <family val="1"/>
        <charset val="134"/>
      </rPr>
      <t>发光颜色更多颜色对话框</t>
    </r>
  </si>
  <si>
    <r>
      <rPr>
        <sz val="11"/>
        <color theme="1"/>
        <rFont val="阿里巴巴普惠体 2.0 65 Medium"/>
        <family val="1"/>
        <charset val="134"/>
      </rPr>
      <t>吸取发光颜色</t>
    </r>
  </si>
  <si>
    <r>
      <rPr>
        <sz val="11"/>
        <color theme="1"/>
        <rFont val="阿里巴巴普惠体 2.0 65 Medium"/>
        <family val="1"/>
        <charset val="134"/>
      </rPr>
      <t>更多发光选项</t>
    </r>
  </si>
  <si>
    <r>
      <rPr>
        <sz val="11"/>
        <color theme="1"/>
        <rFont val="阿里巴巴普惠体 2.0 65 Medium"/>
        <family val="1"/>
        <charset val="134"/>
      </rPr>
      <t>对象柔化边缘效果图库</t>
    </r>
  </si>
  <si>
    <r>
      <rPr>
        <sz val="11"/>
        <color theme="1"/>
        <rFont val="阿里巴巴普惠体 2.0 65 Medium"/>
        <family val="1"/>
        <charset val="134"/>
      </rPr>
      <t>更多柔化边缘选项</t>
    </r>
  </si>
  <si>
    <r>
      <rPr>
        <sz val="11"/>
        <color theme="1"/>
        <rFont val="阿里巴巴普惠体 2.0 65 Medium"/>
        <family val="1"/>
        <charset val="134"/>
      </rPr>
      <t>倒角形状图库</t>
    </r>
  </si>
  <si>
    <r>
      <t>3D</t>
    </r>
    <r>
      <rPr>
        <sz val="11"/>
        <color theme="1"/>
        <rFont val="阿里巴巴普惠体 2.0 65 Medium"/>
        <family val="1"/>
        <charset val="134"/>
      </rPr>
      <t>旋转行为对话框</t>
    </r>
    <phoneticPr fontId="2" type="noConversion"/>
  </si>
  <si>
    <r>
      <t>3D</t>
    </r>
    <r>
      <rPr>
        <sz val="11"/>
        <color theme="1"/>
        <rFont val="阿里巴巴普惠体 2.0 65 Medium"/>
        <family val="1"/>
        <charset val="134"/>
      </rPr>
      <t>旋转图库</t>
    </r>
  </si>
  <si>
    <r>
      <t>3D</t>
    </r>
    <r>
      <rPr>
        <sz val="11"/>
        <color theme="1"/>
        <rFont val="阿里巴巴普惠体 2.0 65 Medium"/>
        <family val="1"/>
        <charset val="134"/>
      </rPr>
      <t>旋转选项对话框</t>
    </r>
  </si>
  <si>
    <r>
      <rPr>
        <sz val="11"/>
        <color theme="1"/>
        <rFont val="阿里巴巴普惠体 2.0 65 Medium"/>
        <family val="1"/>
        <charset val="134"/>
      </rPr>
      <t>对象格式对话框</t>
    </r>
  </si>
  <si>
    <r>
      <rPr>
        <sz val="11"/>
        <color theme="1"/>
        <rFont val="阿里巴巴普惠体 2.0 65 Medium"/>
        <family val="1"/>
        <charset val="134"/>
      </rPr>
      <t>编辑分组</t>
    </r>
  </si>
  <si>
    <r>
      <rPr>
        <sz val="11"/>
        <color theme="1"/>
        <rFont val="阿里巴巴普惠体 2.0 65 Medium"/>
        <family val="1"/>
        <charset val="134"/>
      </rPr>
      <t>查找对话框</t>
    </r>
  </si>
  <si>
    <r>
      <rPr>
        <sz val="11"/>
        <color theme="1"/>
        <rFont val="阿里巴巴普惠体 2.0 65 Medium"/>
        <family val="1"/>
        <charset val="134"/>
      </rPr>
      <t>替换菜单</t>
    </r>
  </si>
  <si>
    <r>
      <rPr>
        <sz val="11"/>
        <color theme="1"/>
        <rFont val="阿里巴巴普惠体 2.0 65 Medium"/>
        <family val="1"/>
        <charset val="134"/>
      </rPr>
      <t>替换对话框</t>
    </r>
  </si>
  <si>
    <r>
      <rPr>
        <sz val="11"/>
        <color theme="1"/>
        <rFont val="阿里巴巴普惠体 2.0 65 Medium"/>
        <family val="1"/>
        <charset val="134"/>
      </rPr>
      <t>替换字体</t>
    </r>
  </si>
  <si>
    <r>
      <rPr>
        <sz val="11"/>
        <color theme="1"/>
        <rFont val="阿里巴巴普惠体 2.0 65 Medium"/>
        <family val="1"/>
        <charset val="134"/>
      </rPr>
      <t>选择菜单</t>
    </r>
  </si>
  <si>
    <r>
      <rPr>
        <sz val="11"/>
        <color theme="1"/>
        <rFont val="阿里巴巴普惠体 2.0 65 Medium"/>
        <family val="1"/>
        <charset val="134"/>
      </rPr>
      <t>全选</t>
    </r>
  </si>
  <si>
    <r>
      <rPr>
        <sz val="11"/>
        <color theme="1"/>
        <rFont val="阿里巴巴普惠体 2.0 65 Medium"/>
        <family val="1"/>
        <charset val="134"/>
      </rPr>
      <t>选择对象</t>
    </r>
  </si>
  <si>
    <r>
      <rPr>
        <sz val="11"/>
        <color theme="1"/>
        <rFont val="阿里巴巴普惠体 2.0 65 Medium"/>
        <family val="1"/>
        <charset val="134"/>
      </rPr>
      <t>插入选项卡</t>
    </r>
  </si>
  <si>
    <r>
      <rPr>
        <sz val="11"/>
        <color theme="1"/>
        <rFont val="阿里巴巴普惠体 2.0 65 Medium"/>
        <family val="1"/>
        <charset val="134"/>
      </rPr>
      <t>新建幻灯片图库插入</t>
    </r>
  </si>
  <si>
    <r>
      <rPr>
        <sz val="11"/>
        <color theme="1"/>
        <rFont val="阿里巴巴普惠体 2.0 65 Medium"/>
        <family val="1"/>
        <charset val="134"/>
      </rPr>
      <t>幻灯片重用</t>
    </r>
  </si>
  <si>
    <r>
      <rPr>
        <sz val="11"/>
        <color theme="1"/>
        <rFont val="阿里巴巴普惠体 2.0 65 Medium"/>
        <family val="1"/>
        <charset val="134"/>
      </rPr>
      <t>插入表格分组</t>
    </r>
  </si>
  <si>
    <r>
      <rPr>
        <sz val="11"/>
        <color theme="1"/>
        <rFont val="阿里巴巴普惠体 2.0 65 Medium"/>
        <family val="1"/>
        <charset val="134"/>
      </rPr>
      <t>表格插入图库</t>
    </r>
  </si>
  <si>
    <r>
      <rPr>
        <sz val="11"/>
        <color theme="1"/>
        <rFont val="阿里巴巴普惠体 2.0 65 Medium"/>
        <family val="1"/>
        <charset val="134"/>
      </rPr>
      <t>插入表格</t>
    </r>
  </si>
  <si>
    <r>
      <rPr>
        <sz val="11"/>
        <color theme="1"/>
        <rFont val="阿里巴巴普惠体 2.0 65 Medium"/>
        <family val="1"/>
        <charset val="134"/>
      </rPr>
      <t>绘制表格</t>
    </r>
  </si>
  <si>
    <r>
      <rPr>
        <sz val="11"/>
        <color theme="1"/>
        <rFont val="阿里巴巴普惠体 2.0 65 Medium"/>
        <family val="1"/>
        <charset val="134"/>
      </rPr>
      <t>插入</t>
    </r>
    <r>
      <rPr>
        <sz val="11"/>
        <color theme="1"/>
        <rFont val="zGilroy-Medium"/>
      </rPr>
      <t>Excel</t>
    </r>
  </si>
  <si>
    <r>
      <rPr>
        <sz val="11"/>
        <color theme="1"/>
        <rFont val="阿里巴巴普惠体 2.0 65 Medium"/>
        <family val="1"/>
        <charset val="134"/>
      </rPr>
      <t>图像分组</t>
    </r>
  </si>
  <si>
    <r>
      <rPr>
        <sz val="11"/>
        <color theme="1"/>
        <rFont val="阿里巴巴普惠体 2.0 65 Medium"/>
        <family val="1"/>
        <charset val="134"/>
      </rPr>
      <t>从文件插入图片</t>
    </r>
  </si>
  <si>
    <r>
      <rPr>
        <sz val="11"/>
        <color theme="1"/>
        <rFont val="阿里巴巴普惠体 2.0 65 Medium"/>
        <family val="1"/>
        <charset val="134"/>
      </rPr>
      <t>插入剪贴画对话框</t>
    </r>
  </si>
  <si>
    <r>
      <rPr>
        <sz val="11"/>
        <color theme="1"/>
        <rFont val="阿里巴巴普惠体 2.0 65 Medium"/>
        <family val="1"/>
        <charset val="134"/>
      </rPr>
      <t>屏幕截图图库</t>
    </r>
  </si>
  <si>
    <r>
      <rPr>
        <sz val="11"/>
        <color theme="1"/>
        <rFont val="阿里巴巴普惠体 2.0 65 Medium"/>
        <family val="1"/>
        <charset val="134"/>
      </rPr>
      <t>屏幕剪贴</t>
    </r>
  </si>
  <si>
    <r>
      <rPr>
        <sz val="11"/>
        <color theme="1"/>
        <rFont val="阿里巴巴普惠体 2.0 65 Medium"/>
        <family val="1"/>
        <charset val="134"/>
      </rPr>
      <t>幻灯片集插入菜单</t>
    </r>
  </si>
  <si>
    <r>
      <rPr>
        <sz val="11"/>
        <color theme="1"/>
        <rFont val="阿里巴巴普惠体 2.0 65 Medium"/>
        <family val="1"/>
        <charset val="134"/>
      </rPr>
      <t>插入幻灯片集</t>
    </r>
  </si>
  <si>
    <r>
      <rPr>
        <sz val="11"/>
        <color theme="1"/>
        <rFont val="阿里巴巴普惠体 2.0 65 Medium"/>
        <family val="1"/>
        <charset val="134"/>
      </rPr>
      <t>编辑幻灯片集</t>
    </r>
  </si>
  <si>
    <r>
      <rPr>
        <sz val="11"/>
        <color theme="1"/>
        <rFont val="阿里巴巴普惠体 2.0 65 Medium"/>
        <family val="1"/>
        <charset val="134"/>
      </rPr>
      <t>插入插图分组</t>
    </r>
  </si>
  <si>
    <r>
      <rPr>
        <sz val="11"/>
        <color theme="1"/>
        <rFont val="阿里巴巴普惠体 2.0 65 Medium"/>
        <family val="1"/>
        <charset val="134"/>
      </rPr>
      <t>形状插入图库</t>
    </r>
  </si>
  <si>
    <r>
      <rPr>
        <sz val="11"/>
        <color theme="1"/>
        <rFont val="阿里巴巴普惠体 2.0 65 Medium"/>
        <family val="1"/>
        <charset val="134"/>
      </rPr>
      <t>插入智能图形</t>
    </r>
  </si>
  <si>
    <r>
      <rPr>
        <sz val="11"/>
        <color theme="1"/>
        <rFont val="阿里巴巴普惠体 2.0 65 Medium"/>
        <family val="1"/>
        <charset val="134"/>
      </rPr>
      <t>插入图表</t>
    </r>
  </si>
  <si>
    <r>
      <t>Office</t>
    </r>
    <r>
      <rPr>
        <sz val="11"/>
        <color theme="1"/>
        <rFont val="阿里巴巴普惠体 2.0 65 Medium"/>
        <family val="1"/>
        <charset val="134"/>
      </rPr>
      <t>扩展分组</t>
    </r>
  </si>
  <si>
    <r>
      <rPr>
        <sz val="11"/>
        <color theme="1"/>
        <rFont val="阿里巴巴普惠体 2.0 65 Medium"/>
        <family val="1"/>
        <charset val="134"/>
      </rPr>
      <t>应用商店</t>
    </r>
  </si>
  <si>
    <r>
      <rPr>
        <sz val="11"/>
        <color theme="1"/>
        <rFont val="阿里巴巴普惠体 2.0 65 Medium"/>
        <family val="1"/>
        <charset val="134"/>
      </rPr>
      <t>扩展库</t>
    </r>
  </si>
  <si>
    <r>
      <rPr>
        <sz val="11"/>
        <color theme="1"/>
        <rFont val="阿里巴巴普惠体 2.0 65 Medium"/>
        <family val="1"/>
        <charset val="134"/>
      </rPr>
      <t>扩展对话框</t>
    </r>
  </si>
  <si>
    <r>
      <rPr>
        <sz val="11"/>
        <color theme="1"/>
        <rFont val="阿里巴巴普惠体 2.0 65 Medium"/>
        <family val="1"/>
        <charset val="134"/>
      </rPr>
      <t>管理其他加载项</t>
    </r>
  </si>
  <si>
    <r>
      <rPr>
        <sz val="11"/>
        <color theme="1"/>
        <rFont val="阿里巴巴普惠体 2.0 65 Medium"/>
        <family val="1"/>
        <charset val="134"/>
      </rPr>
      <t>推荐应用</t>
    </r>
    <r>
      <rPr>
        <sz val="11"/>
        <color theme="1"/>
        <rFont val="zGilroy-Medium"/>
      </rPr>
      <t>1</t>
    </r>
  </si>
  <si>
    <r>
      <rPr>
        <sz val="11"/>
        <color theme="1"/>
        <rFont val="阿里巴巴普惠体 2.0 65 Medium"/>
        <family val="1"/>
        <charset val="134"/>
      </rPr>
      <t>推荐应用</t>
    </r>
    <r>
      <rPr>
        <sz val="11"/>
        <color theme="1"/>
        <rFont val="zGilroy-Medium"/>
      </rPr>
      <t>2</t>
    </r>
  </si>
  <si>
    <r>
      <rPr>
        <sz val="11"/>
        <color theme="1"/>
        <rFont val="阿里巴巴普惠体 2.0 65 Medium"/>
        <family val="1"/>
        <charset val="134"/>
      </rPr>
      <t>推荐应用</t>
    </r>
    <r>
      <rPr>
        <sz val="11"/>
        <color theme="1"/>
        <rFont val="zGilroy-Medium"/>
      </rPr>
      <t>3</t>
    </r>
  </si>
  <si>
    <r>
      <rPr>
        <sz val="11"/>
        <color theme="1"/>
        <rFont val="阿里巴巴普惠体 2.0 65 Medium"/>
        <family val="1"/>
        <charset val="134"/>
      </rPr>
      <t>推荐应用</t>
    </r>
    <r>
      <rPr>
        <sz val="11"/>
        <color theme="1"/>
        <rFont val="zGilroy-Medium"/>
      </rPr>
      <t>4</t>
    </r>
  </si>
  <si>
    <r>
      <rPr>
        <sz val="11"/>
        <color theme="1"/>
        <rFont val="阿里巴巴普惠体 2.0 65 Medium"/>
        <family val="1"/>
        <charset val="134"/>
      </rPr>
      <t>推荐应用</t>
    </r>
    <r>
      <rPr>
        <sz val="11"/>
        <color theme="1"/>
        <rFont val="zGilroy-Medium"/>
      </rPr>
      <t>5</t>
    </r>
  </si>
  <si>
    <r>
      <rPr>
        <sz val="11"/>
        <color theme="1"/>
        <rFont val="阿里巴巴普惠体 2.0 65 Medium"/>
        <family val="1"/>
        <charset val="134"/>
      </rPr>
      <t>推荐应用</t>
    </r>
    <r>
      <rPr>
        <sz val="11"/>
        <color theme="1"/>
        <rFont val="zGilroy-Medium"/>
      </rPr>
      <t>6</t>
    </r>
  </si>
  <si>
    <r>
      <rPr>
        <sz val="11"/>
        <color theme="1"/>
        <rFont val="阿里巴巴普惠体 2.0 65 Medium"/>
        <family val="1"/>
        <charset val="134"/>
      </rPr>
      <t>插入链接分组</t>
    </r>
  </si>
  <si>
    <r>
      <rPr>
        <sz val="11"/>
        <color theme="1"/>
        <rFont val="阿里巴巴普惠体 2.0 65 Medium"/>
        <family val="1"/>
        <charset val="134"/>
      </rPr>
      <t>插入超链接</t>
    </r>
  </si>
  <si>
    <r>
      <rPr>
        <sz val="11"/>
        <color theme="1"/>
        <rFont val="阿里巴巴普惠体 2.0 65 Medium"/>
        <family val="1"/>
        <charset val="134"/>
      </rPr>
      <t>插入动作</t>
    </r>
  </si>
  <si>
    <r>
      <rPr>
        <sz val="11"/>
        <color theme="1"/>
        <rFont val="阿里巴巴普惠体 2.0 65 Medium"/>
        <family val="1"/>
        <charset val="134"/>
      </rPr>
      <t>插入批注分组</t>
    </r>
  </si>
  <si>
    <r>
      <rPr>
        <sz val="11"/>
        <color theme="1"/>
        <rFont val="阿里巴巴普惠体 2.0 65 Medium"/>
        <family val="1"/>
        <charset val="134"/>
      </rPr>
      <t>插入新批注</t>
    </r>
  </si>
  <si>
    <r>
      <rPr>
        <sz val="11"/>
        <color theme="1"/>
        <rFont val="阿里巴巴普惠体 2.0 65 Medium"/>
        <family val="1"/>
        <charset val="134"/>
      </rPr>
      <t>插入文本分组</t>
    </r>
  </si>
  <si>
    <r>
      <rPr>
        <sz val="11"/>
        <color theme="1"/>
        <rFont val="阿里巴巴普惠体 2.0 65 Medium"/>
        <family val="1"/>
        <charset val="134"/>
      </rPr>
      <t>插入文本</t>
    </r>
  </si>
  <si>
    <r>
      <rPr>
        <sz val="11"/>
        <color theme="1"/>
        <rFont val="阿里巴巴普惠体 2.0 65 Medium"/>
        <family val="1"/>
        <charset val="134"/>
      </rPr>
      <t>文本框插入菜单</t>
    </r>
  </si>
  <si>
    <r>
      <rPr>
        <sz val="11"/>
        <color theme="1"/>
        <rFont val="阿里巴巴普惠体 2.0 65 Medium"/>
        <family val="1"/>
        <charset val="134"/>
      </rPr>
      <t>水平文本框插入</t>
    </r>
  </si>
  <si>
    <r>
      <rPr>
        <sz val="11"/>
        <color theme="1"/>
        <rFont val="阿里巴巴普惠体 2.0 65 Medium"/>
        <family val="1"/>
        <charset val="134"/>
      </rPr>
      <t>垂直文本框插入</t>
    </r>
  </si>
  <si>
    <r>
      <rPr>
        <sz val="11"/>
        <color theme="1"/>
        <rFont val="阿里巴巴普惠体 2.0 65 Medium"/>
        <family val="1"/>
        <charset val="134"/>
      </rPr>
      <t>插入页眉</t>
    </r>
    <r>
      <rPr>
        <sz val="11"/>
        <color theme="1"/>
        <rFont val="zGilroy-Medium"/>
      </rPr>
      <t>/</t>
    </r>
    <r>
      <rPr>
        <sz val="11"/>
        <color theme="1"/>
        <rFont val="阿里巴巴普惠体 2.0 65 Medium"/>
        <family val="1"/>
        <charset val="134"/>
      </rPr>
      <t>页脚</t>
    </r>
  </si>
  <si>
    <r>
      <rPr>
        <sz val="11"/>
        <color rgb="FFFF0000"/>
        <rFont val="阿里巴巴普惠体 2.0 65 Medium"/>
        <family val="1"/>
        <charset val="134"/>
      </rPr>
      <t>指针模式选项</t>
    </r>
  </si>
  <si>
    <r>
      <rPr>
        <sz val="11"/>
        <color rgb="FFFF0000"/>
        <rFont val="阿里巴巴普惠体 2.0 65 Medium"/>
        <family val="1"/>
        <charset val="134"/>
      </rPr>
      <t>主页选项卡</t>
    </r>
  </si>
  <si>
    <r>
      <rPr>
        <sz val="11"/>
        <color rgb="FFFF0000"/>
        <rFont val="阿里巴巴普惠体 2.0 65 Medium"/>
        <family val="1"/>
        <charset val="134"/>
      </rPr>
      <t>剪贴板分组</t>
    </r>
  </si>
  <si>
    <r>
      <rPr>
        <sz val="11"/>
        <color rgb="FFFF0000"/>
        <rFont val="阿里巴巴普惠体 2.0 65 Medium"/>
        <family val="1"/>
        <charset val="134"/>
      </rPr>
      <t>粘贴菜单</t>
    </r>
  </si>
  <si>
    <r>
      <rPr>
        <sz val="11"/>
        <color rgb="FFFF0000"/>
        <rFont val="阿里巴巴普惠体 2.0 65 Medium"/>
        <family val="1"/>
        <charset val="134"/>
      </rPr>
      <t>粘贴图库</t>
    </r>
  </si>
  <si>
    <r>
      <rPr>
        <sz val="11"/>
        <color rgb="FFFF0000"/>
        <rFont val="阿里巴巴普惠体 2.0 65 Medium"/>
        <family val="1"/>
        <charset val="134"/>
      </rPr>
      <t>拆分按钮复制</t>
    </r>
  </si>
  <si>
    <r>
      <rPr>
        <sz val="11"/>
        <color rgb="FFFF0000"/>
        <rFont val="阿里巴巴普惠体 2.0 65 Medium"/>
        <family val="1"/>
        <charset val="134"/>
      </rPr>
      <t>幻灯片分组</t>
    </r>
  </si>
  <si>
    <r>
      <rPr>
        <sz val="11"/>
        <color rgb="FFFF0000"/>
        <rFont val="阿里巴巴普惠体 2.0 65 Medium"/>
        <family val="1"/>
        <charset val="134"/>
      </rPr>
      <t>新建幻灯片图库</t>
    </r>
  </si>
  <si>
    <r>
      <rPr>
        <sz val="11"/>
        <color rgb="FFFF0000"/>
        <rFont val="阿里巴巴普惠体 2.0 65 Medium"/>
        <family val="1"/>
        <charset val="134"/>
      </rPr>
      <t>重用幻灯片</t>
    </r>
  </si>
  <si>
    <r>
      <rPr>
        <sz val="11"/>
        <color rgb="FFFF0000"/>
        <rFont val="阿里巴巴普惠体 2.0 65 Medium"/>
        <family val="1"/>
        <charset val="134"/>
      </rPr>
      <t>幻灯片版式图库</t>
    </r>
  </si>
  <si>
    <r>
      <rPr>
        <sz val="11"/>
        <color rgb="FFFF0000"/>
        <rFont val="阿里巴巴普惠体 2.0 65 Medium"/>
        <family val="1"/>
        <charset val="134"/>
      </rPr>
      <t>分区菜单</t>
    </r>
  </si>
  <si>
    <r>
      <rPr>
        <sz val="11"/>
        <color rgb="FFFF0000"/>
        <rFont val="阿里巴巴普惠体 2.0 65 Medium"/>
        <family val="1"/>
        <charset val="134"/>
      </rPr>
      <t>字体分组</t>
    </r>
  </si>
  <si>
    <r>
      <rPr>
        <sz val="11"/>
        <color rgb="FFFF0000"/>
        <rFont val="阿里巴巴普惠体 2.0 65 Medium"/>
        <family val="1"/>
        <charset val="134"/>
      </rPr>
      <t>字体</t>
    </r>
  </si>
  <si>
    <r>
      <rPr>
        <sz val="11"/>
        <color rgb="FFFF0000"/>
        <rFont val="阿里巴巴普惠体 2.0 65 Medium"/>
        <family val="1"/>
        <charset val="134"/>
      </rPr>
      <t>字号</t>
    </r>
  </si>
  <si>
    <r>
      <rPr>
        <sz val="11"/>
        <color rgb="FFFF0000"/>
        <rFont val="阿里巴巴普惠体 2.0 65 Medium"/>
        <family val="1"/>
        <charset val="134"/>
      </rPr>
      <t>字符间距图库</t>
    </r>
  </si>
  <si>
    <r>
      <rPr>
        <sz val="11"/>
        <color rgb="FFFF0000"/>
        <rFont val="阿里巴巴普惠体 2.0 65 Medium"/>
        <family val="1"/>
        <charset val="134"/>
      </rPr>
      <t>更改大小写图库</t>
    </r>
  </si>
  <si>
    <r>
      <rPr>
        <sz val="11"/>
        <color rgb="FFFF0000"/>
        <rFont val="阿里巴巴普惠体 2.0 65 Medium"/>
        <family val="1"/>
        <charset val="134"/>
      </rPr>
      <t>字体颜色选择器</t>
    </r>
  </si>
  <si>
    <t>key</t>
    <phoneticPr fontId="2" type="noConversion"/>
  </si>
  <si>
    <t>命令</t>
  </si>
  <si>
    <t>注释</t>
  </si>
  <si>
    <t>keyFunc_Copy</t>
  </si>
  <si>
    <t>复制</t>
  </si>
  <si>
    <t>keyFunc_Cut</t>
  </si>
  <si>
    <t>剪切</t>
  </si>
  <si>
    <t>keyFunc_Paste</t>
  </si>
  <si>
    <t>粘贴</t>
  </si>
  <si>
    <t>keyFunc_Undo</t>
  </si>
  <si>
    <t>撤销</t>
  </si>
  <si>
    <t>keyFunc_Redo</t>
  </si>
  <si>
    <t>重做</t>
  </si>
  <si>
    <t>keyFunc_CloseWindow</t>
  </si>
  <si>
    <t>关闭窗口</t>
  </si>
  <si>
    <t>keyFunc_Enter</t>
  </si>
  <si>
    <t>输入回车</t>
  </si>
  <si>
    <t>keyFunc_Backspace</t>
  </si>
  <si>
    <t>输入退格</t>
  </si>
  <si>
    <t>keyFunc_ESC</t>
  </si>
  <si>
    <t>输入ESC</t>
  </si>
  <si>
    <t>keyFunc_CtrlQ</t>
  </si>
  <si>
    <t>输入^q</t>
  </si>
  <si>
    <t>keyFunc_Save</t>
  </si>
  <si>
    <t>保存</t>
  </si>
  <si>
    <t>keyFunc_SaveAs</t>
  </si>
  <si>
    <t>另存为</t>
  </si>
  <si>
    <t>keyFunc_send(p)</t>
  </si>
  <si>
    <t>发送指定的内容</t>
  </si>
  <si>
    <t>keyFunc_run(p)</t>
  </si>
  <si>
    <t>运行指定的程序或命令</t>
  </si>
  <si>
    <t>keyFunc_toggleCapsLock</t>
  </si>
  <si>
    <t>keyFunc_delete</t>
  </si>
  <si>
    <t>执行删除操作</t>
  </si>
  <si>
    <t>keyFunc_end</t>
  </si>
  <si>
    <t>移动到行尾</t>
  </si>
  <si>
    <t>keyFunc_home</t>
  </si>
  <si>
    <t>移动到行首</t>
  </si>
  <si>
    <t>Lock）状态</t>
    <phoneticPr fontId="2" type="noConversion"/>
  </si>
  <si>
    <t>切换大写锁定（CapsLock）状态</t>
  </si>
  <si>
    <t>切换大写锁定（CapsLock）状态</t>
    <phoneticPr fontId="2" type="noConversion"/>
  </si>
  <si>
    <t xml:space="preserve"> keyFunc_toggleCapsLock()     </t>
    <phoneticPr fontId="2" type="noConversion"/>
  </si>
  <si>
    <t>输入逗号</t>
  </si>
  <si>
    <t>keyFunc_comma()</t>
  </si>
  <si>
    <t>keyFunc_period()</t>
  </si>
  <si>
    <t>输入句号</t>
  </si>
  <si>
    <t>keyFunc_questionMark()</t>
  </si>
  <si>
    <t>输入问号</t>
  </si>
  <si>
    <t>keyFunc_exclamationMark()</t>
  </si>
  <si>
    <t>输入感叹号</t>
  </si>
  <si>
    <t>keyFunc_colon()</t>
  </si>
  <si>
    <t>输入冒号</t>
  </si>
  <si>
    <t>keyFunc_semicolon()</t>
  </si>
  <si>
    <t>输入分号</t>
  </si>
  <si>
    <t>keyFunc_singleQuote()</t>
  </si>
  <si>
    <t>输入单引号</t>
  </si>
  <si>
    <t>keyFunc_doubleQuote()</t>
  </si>
  <si>
    <t>输入双引号</t>
  </si>
  <si>
    <t>keyFunc_brackets()</t>
  </si>
  <si>
    <t>输入括号</t>
  </si>
  <si>
    <t>keyFunc_squareBrackets()</t>
  </si>
  <si>
    <t>输入方括号</t>
  </si>
  <si>
    <t>keyFunc_curlyBrackets()</t>
  </si>
  <si>
    <t>输入花括号</t>
  </si>
  <si>
    <t>keyFunc_angleBrackets()</t>
  </si>
  <si>
    <t>输入尖括号</t>
  </si>
  <si>
    <t>keyFunc_backtick()</t>
  </si>
  <si>
    <t>输入反引号</t>
  </si>
  <si>
    <t>keyFunc_forwardSlash()</t>
  </si>
  <si>
    <t>输入正斜杠</t>
  </si>
  <si>
    <t>keyFunc_backSlash()</t>
  </si>
  <si>
    <t>输入反斜杠</t>
  </si>
  <si>
    <t>keyFunc_plus()</t>
  </si>
  <si>
    <t>输入加号</t>
  </si>
  <si>
    <t>keyFunc_minus()</t>
  </si>
  <si>
    <t>输入减号</t>
  </si>
  <si>
    <t>keyFunc_multiply()</t>
  </si>
  <si>
    <t>输入乘号</t>
  </si>
  <si>
    <t>keyFunc_divide()</t>
  </si>
  <si>
    <t>输入除号</t>
  </si>
  <si>
    <t>keyFunc_percent()</t>
  </si>
  <si>
    <t>输入百分号</t>
  </si>
  <si>
    <t>keyFunc_equal()</t>
  </si>
  <si>
    <t>输入等于号</t>
  </si>
  <si>
    <t>keyFunc_dollarSign()</t>
  </si>
  <si>
    <t>输入美元符号</t>
  </si>
  <si>
    <t>keyFunc_hash()</t>
  </si>
  <si>
    <t>输入井号</t>
  </si>
  <si>
    <t>keyFunc_atSymbol()</t>
  </si>
  <si>
    <t>输入艾特符号</t>
  </si>
  <si>
    <t>keyFunc_ampersand()</t>
  </si>
  <si>
    <t>输入与符号</t>
  </si>
  <si>
    <t>keyFunc_verticalBar()</t>
  </si>
  <si>
    <t>输入竖线</t>
  </si>
  <si>
    <t>keyFunc_tilde()</t>
  </si>
  <si>
    <t>输入波浪号</t>
  </si>
  <si>
    <t>keyFunc_underscore()</t>
  </si>
  <si>
    <t>输入下划线</t>
  </si>
  <si>
    <t>keyFunc_comma</t>
  </si>
  <si>
    <t>keyFunc_period</t>
  </si>
  <si>
    <t>keyFunc_questionMark</t>
  </si>
  <si>
    <t>keyFunc_exclamationMark</t>
  </si>
  <si>
    <t>keyFunc_colon</t>
  </si>
  <si>
    <t>keyFunc_semicolon</t>
  </si>
  <si>
    <t>keyFunc_singleQuote</t>
  </si>
  <si>
    <t>keyFunc_doubleQuote</t>
  </si>
  <si>
    <t>keyFunc_brackets</t>
  </si>
  <si>
    <t>keyFunc_squareBrackets</t>
  </si>
  <si>
    <t>keyFunc_curlyBrackets</t>
  </si>
  <si>
    <t>keyFunc_angleBrackets</t>
  </si>
  <si>
    <t>keyFunc_backtick</t>
  </si>
  <si>
    <t>keyFunc_forwardSlash</t>
  </si>
  <si>
    <t>keyFunc_backSlash</t>
  </si>
  <si>
    <t>keyFunc_plus</t>
  </si>
  <si>
    <t>keyFunc_minus</t>
  </si>
  <si>
    <t>keyFunc_multiply</t>
  </si>
  <si>
    <t>keyFunc_divide</t>
  </si>
  <si>
    <t>keyFunc_percent</t>
  </si>
  <si>
    <t>keyFunc_equal</t>
  </si>
  <si>
    <t>keyFunc_dollarSign</t>
  </si>
  <si>
    <t>keyFunc_hash</t>
  </si>
  <si>
    <t>keyFunc_atSymbol</t>
  </si>
  <si>
    <t>keyFunc_ampersand</t>
  </si>
  <si>
    <t>keyFunc_verticalBar</t>
  </si>
  <si>
    <t>keyFunc_tilde</t>
  </si>
  <si>
    <t>keyFunc_underscore</t>
  </si>
  <si>
    <t>CtrlQ</t>
  </si>
  <si>
    <t>Save</t>
  </si>
  <si>
    <t>SaveAs</t>
  </si>
  <si>
    <t>delete</t>
  </si>
  <si>
    <t>Esc</t>
    <phoneticPr fontId="2" type="noConversion"/>
  </si>
  <si>
    <t xml:space="preserve"> </t>
    <phoneticPr fontId="2" type="noConversion"/>
  </si>
  <si>
    <t>CloseWindow</t>
  </si>
  <si>
    <t>Backspace</t>
  </si>
  <si>
    <t>ESC</t>
  </si>
  <si>
    <t>toggleCapsLock</t>
  </si>
  <si>
    <t>end</t>
  </si>
  <si>
    <t>home</t>
  </si>
  <si>
    <t>comma</t>
  </si>
  <si>
    <t>period</t>
  </si>
  <si>
    <t>questionMark</t>
  </si>
  <si>
    <t>exclamationMark</t>
  </si>
  <si>
    <t>colon</t>
  </si>
  <si>
    <t>semicolon</t>
  </si>
  <si>
    <t>singleQuote</t>
  </si>
  <si>
    <t>doubleQuote</t>
  </si>
  <si>
    <t>brackets</t>
  </si>
  <si>
    <t>squareBrackets</t>
  </si>
  <si>
    <t>curlyBrackets</t>
  </si>
  <si>
    <t>angleBrackets</t>
  </si>
  <si>
    <t>backtick</t>
  </si>
  <si>
    <t>forwardSlash</t>
  </si>
  <si>
    <t>backSlash</t>
  </si>
  <si>
    <t>plus</t>
  </si>
  <si>
    <t>minus</t>
  </si>
  <si>
    <t>multiply</t>
  </si>
  <si>
    <t>divide</t>
  </si>
  <si>
    <t>percent</t>
  </si>
  <si>
    <t>equal</t>
  </si>
  <si>
    <t>dollarSign</t>
  </si>
  <si>
    <t>hash</t>
  </si>
  <si>
    <t>atSymbol</t>
  </si>
  <si>
    <t>ampersand</t>
  </si>
  <si>
    <t>verticalBar</t>
  </si>
  <si>
    <t>tilde</t>
  </si>
  <si>
    <t>underscore</t>
  </si>
  <si>
    <t xml:space="preserve"> doNothing          </t>
  </si>
  <si>
    <t xml:space="preserve"> test               </t>
  </si>
  <si>
    <t xml:space="preserve"> toggleCapsLock     </t>
  </si>
  <si>
    <t xml:space="preserve"> mouseSpeedIncrease </t>
  </si>
  <si>
    <t xml:space="preserve"> mouseSpeedDecrease </t>
  </si>
  <si>
    <t xml:space="preserve"> moveLeft       </t>
  </si>
  <si>
    <t xml:space="preserve"> moveRight      </t>
  </si>
  <si>
    <t xml:space="preserve"> moveUp         </t>
  </si>
  <si>
    <t xml:space="preserve"> moveDown       </t>
  </si>
  <si>
    <t xml:space="preserve"> moveWordLeft   </t>
  </si>
  <si>
    <t xml:space="preserve"> moveWordRight  </t>
  </si>
  <si>
    <t xml:space="preserve"> deleteAll          </t>
  </si>
  <si>
    <t xml:space="preserve"> deleteWord         </t>
  </si>
  <si>
    <t xml:space="preserve"> forwardDeleteWord  </t>
  </si>
  <si>
    <t xml:space="preserve"> moveToPageBeginning </t>
  </si>
  <si>
    <t xml:space="preserve"> moveToPageEnd       </t>
  </si>
  <si>
    <t xml:space="preserve"> deleteLine         </t>
  </si>
  <si>
    <t xml:space="preserve"> deleteToLineBeginning </t>
  </si>
  <si>
    <t xml:space="preserve"> deleteToLineEnd     </t>
  </si>
  <si>
    <t xml:space="preserve"> deleteToPageBeginning </t>
  </si>
  <si>
    <t xml:space="preserve"> deleteToPageEnd       </t>
  </si>
  <si>
    <t xml:space="preserve"> doubleAngle        </t>
  </si>
  <si>
    <t xml:space="preserve"> jumpPageTop        </t>
  </si>
  <si>
    <t xml:space="preserve"> jumpPageBottom     </t>
  </si>
  <si>
    <t xml:space="preserve"> selectUp       </t>
  </si>
  <si>
    <t xml:space="preserve"> selectDown     </t>
  </si>
  <si>
    <t xml:space="preserve"> selectLeft     </t>
  </si>
  <si>
    <t xml:space="preserve"> selectRight    </t>
  </si>
  <si>
    <t xml:space="preserve"> selectHome         </t>
  </si>
  <si>
    <t xml:space="preserve"> selectEnd          </t>
  </si>
  <si>
    <t xml:space="preserve"> selectToPageBeginning </t>
  </si>
  <si>
    <t xml:space="preserve"> selectToPageEnd       </t>
  </si>
  <si>
    <t xml:space="preserve"> selectCurrentWord  </t>
  </si>
  <si>
    <t xml:space="preserve"> selectCurrentLine  </t>
  </si>
  <si>
    <t xml:space="preserve"> selectWordLeft </t>
  </si>
  <si>
    <t xml:space="preserve"> selectWordRight </t>
  </si>
  <si>
    <t xml:space="preserve"> pageMoveLineUp </t>
  </si>
  <si>
    <t xml:space="preserve"> pageMoveLineDown </t>
  </si>
  <si>
    <t xml:space="preserve"> mediaPrev          </t>
  </si>
  <si>
    <t xml:space="preserve"> mediaNext          </t>
  </si>
  <si>
    <t xml:space="preserve"> mediaPlayPause     </t>
  </si>
  <si>
    <t xml:space="preserve"> volumeUp           </t>
  </si>
  <si>
    <t xml:space="preserve"> volumeDown         </t>
  </si>
  <si>
    <t xml:space="preserve"> volumeMute         </t>
  </si>
  <si>
    <t xml:space="preserve"> reload             </t>
  </si>
  <si>
    <t xml:space="preserve"> send_dot           </t>
  </si>
  <si>
    <t xml:space="preserve"> click_left         </t>
  </si>
  <si>
    <t xml:space="preserve"> click_right        </t>
  </si>
  <si>
    <t xml:space="preserve"> mouse_up           </t>
  </si>
  <si>
    <t xml:space="preserve"> mouse_down         </t>
  </si>
  <si>
    <t xml:space="preserve"> mouse_left         </t>
  </si>
  <si>
    <t xml:space="preserve"> mouse_right        </t>
  </si>
  <si>
    <t xml:space="preserve"> wheel_up           </t>
  </si>
  <si>
    <t xml:space="preserve"> wheel_down         </t>
  </si>
  <si>
    <t xml:space="preserve"> send              </t>
  </si>
  <si>
    <t xml:space="preserve"> run               </t>
  </si>
  <si>
    <t xml:space="preserve"> keyFunc_doNothing          </t>
  </si>
  <si>
    <t xml:space="preserve"> keyFunc_test               </t>
  </si>
  <si>
    <t xml:space="preserve"> keyFunc_toggleCapsLock     </t>
  </si>
  <si>
    <t xml:space="preserve"> keyFunc_mouseSpeedIncrease </t>
  </si>
  <si>
    <t xml:space="preserve"> keyFunc_mouseSpeedDecrease </t>
  </si>
  <si>
    <t xml:space="preserve"> keyFunc_deleteAll          </t>
  </si>
  <si>
    <t xml:space="preserve"> keyFunc_deleteWord         </t>
  </si>
  <si>
    <t xml:space="preserve"> keyFunc_forwardDeleteWord  </t>
  </si>
  <si>
    <t xml:space="preserve"> keyFunc_moveToPageBeginning </t>
  </si>
  <si>
    <t xml:space="preserve"> keyFunc_moveToPageEnd       </t>
  </si>
  <si>
    <t xml:space="preserve"> keyFunc_deleteLine         </t>
  </si>
  <si>
    <t xml:space="preserve"> keyFunc_deleteToLineBeginning </t>
  </si>
  <si>
    <t xml:space="preserve"> keyFunc_deleteToLineEnd     </t>
  </si>
  <si>
    <t xml:space="preserve"> keyFunc_deleteToPageBeginning </t>
  </si>
  <si>
    <t xml:space="preserve"> keyFunc_deleteToPageEnd       </t>
  </si>
  <si>
    <t xml:space="preserve"> keyFunc_doubleAngle        </t>
  </si>
  <si>
    <t xml:space="preserve"> keyFunc_pageMoveUp         </t>
  </si>
  <si>
    <t xml:space="preserve"> keyFunc_pageMoveDown       </t>
  </si>
  <si>
    <t xml:space="preserve"> keyFunc_jumpPageTop        </t>
  </si>
  <si>
    <t xml:space="preserve"> keyFunc_jumpPageBottom     </t>
  </si>
  <si>
    <t xml:space="preserve"> keyFunc_selectHome         </t>
  </si>
  <si>
    <t xml:space="preserve"> keyFunc_selectEnd          </t>
  </si>
  <si>
    <t xml:space="preserve"> keyFunc_selectToPageBeginning </t>
  </si>
  <si>
    <t xml:space="preserve"> keyFunc_selectToPageEnd       </t>
  </si>
  <si>
    <t xml:space="preserve"> keyFunc_selectCurrentWord  </t>
  </si>
  <si>
    <t xml:space="preserve"> keyFunc_selectCurrentLine  </t>
  </si>
  <si>
    <t xml:space="preserve"> keyFunc_mediaPrev          </t>
  </si>
  <si>
    <t xml:space="preserve"> keyFunc_mediaNext          </t>
  </si>
  <si>
    <t xml:space="preserve"> keyFunc_mediaPlayPause     </t>
  </si>
  <si>
    <t xml:space="preserve"> keyFunc_volumeUp           </t>
  </si>
  <si>
    <t xml:space="preserve"> keyFunc_volumeDown         </t>
  </si>
  <si>
    <t xml:space="preserve"> keyFunc_volumeMute         </t>
  </si>
  <si>
    <t xml:space="preserve"> keyFunc_reload             </t>
  </si>
  <si>
    <t xml:space="preserve"> keyFunc_send_dot           </t>
  </si>
  <si>
    <t xml:space="preserve"> keyfunc_click_left         </t>
  </si>
  <si>
    <t xml:space="preserve"> keyfunc_click_right        </t>
  </si>
  <si>
    <t xml:space="preserve"> keyfunc_mouse_up           </t>
  </si>
  <si>
    <t xml:space="preserve"> keyfunc_mouse_down         </t>
  </si>
  <si>
    <t xml:space="preserve"> keyfunc_mouse_left         </t>
  </si>
  <si>
    <t xml:space="preserve"> keyfunc_mouse_right        </t>
  </si>
  <si>
    <t xml:space="preserve"> keyfunc_wheel_up           </t>
  </si>
  <si>
    <t xml:space="preserve"> keyfunc_wheel_down         </t>
  </si>
  <si>
    <t xml:space="preserve"> keyFunc_send              </t>
  </si>
  <si>
    <t xml:space="preserve"> keyFunc_run               </t>
  </si>
  <si>
    <t xml:space="preserve"> keyFunc_moveLeft       </t>
  </si>
  <si>
    <t xml:space="preserve"> keyFunc_moveRight      </t>
  </si>
  <si>
    <t xml:space="preserve"> keyFunc_moveUp         </t>
  </si>
  <si>
    <t xml:space="preserve"> keyFunc_moveDown       </t>
  </si>
  <si>
    <t xml:space="preserve"> keyFunc_moveWordLeft   </t>
  </si>
  <si>
    <t xml:space="preserve"> keyFunc_moveWordRight  </t>
  </si>
  <si>
    <t xml:space="preserve"> keyFunc_selectUp       </t>
  </si>
  <si>
    <t xml:space="preserve"> keyFunc_selectDown     </t>
  </si>
  <si>
    <t xml:space="preserve"> keyFunc_selectLeft     </t>
  </si>
  <si>
    <t xml:space="preserve"> keyFunc_selectRight    </t>
  </si>
  <si>
    <t xml:space="preserve"> keyFunc_selectWordLeft </t>
  </si>
  <si>
    <t xml:space="preserve"> keyFunc_selectWordRight </t>
  </si>
  <si>
    <t xml:space="preserve"> keyFunc_pageMoveLineUp </t>
  </si>
  <si>
    <t xml:space="preserve"> keyFunc_pageMoveLineDown </t>
  </si>
  <si>
    <t>keyFunc_AutoHotkey</t>
  </si>
  <si>
    <t>keyFunc_Chrome</t>
  </si>
  <si>
    <t>keyFunc_DingtalkLauncher</t>
  </si>
  <si>
    <t>keyFunc_Eagle</t>
  </si>
  <si>
    <t>keyFunc_Excel</t>
  </si>
  <si>
    <t>keyFunc_Everything</t>
  </si>
  <si>
    <t>keyFunc_iexplore</t>
  </si>
  <si>
    <t>keyFunc_KuGou</t>
  </si>
  <si>
    <t>keyFunc_LenovoAppStore</t>
  </si>
  <si>
    <t>keyFunc_LenovoPcManager</t>
  </si>
  <si>
    <t>keyFunc_mailmaster</t>
  </si>
  <si>
    <t>keyFunc_msedge</t>
  </si>
  <si>
    <t>keyFunc_Photoshop</t>
  </si>
  <si>
    <t>keyFunc_PotPlayerMini64</t>
  </si>
  <si>
    <t>keyFunc_POWERPNT</t>
  </si>
  <si>
    <t>keyFunc_QQLive</t>
  </si>
  <si>
    <t>keyFunc_Quicker</t>
  </si>
  <si>
    <t>keyFunc_QQScLauncher</t>
  </si>
  <si>
    <t>keyFunc_QuickerApp</t>
  </si>
  <si>
    <t>keyFunc_SciTE</t>
  </si>
  <si>
    <t>keyFunc_Snipaste</t>
  </si>
  <si>
    <t>keyFunc_Visio</t>
  </si>
  <si>
    <t>keyFunc_WeChat</t>
  </si>
  <si>
    <t>keyFunc_wemeetapp</t>
  </si>
  <si>
    <t>keyFunc_WinRAR</t>
  </si>
  <si>
    <t>keyFunc_WINWORD</t>
  </si>
  <si>
    <t>keyFunc_WXWork</t>
  </si>
  <si>
    <t>keyFunc_YoudaoDict</t>
  </si>
  <si>
    <t>keyFunc_EvernoteNew</t>
  </si>
  <si>
    <t>keyFunc_核桃编程</t>
  </si>
  <si>
    <t>keyFunc_Evernote</t>
  </si>
  <si>
    <t>AutoHotkey</t>
  </si>
  <si>
    <t>Chrome</t>
  </si>
  <si>
    <t>Clash</t>
  </si>
  <si>
    <t>DingtalkLauncher</t>
  </si>
  <si>
    <t>Eagle</t>
  </si>
  <si>
    <t>Excel</t>
  </si>
  <si>
    <t>Everything</t>
  </si>
  <si>
    <t>iexplore</t>
  </si>
  <si>
    <t>KuGou</t>
  </si>
  <si>
    <t>LenovoAppStore</t>
  </si>
  <si>
    <t>LenovoPcManager</t>
  </si>
  <si>
    <t>mailmaster</t>
  </si>
  <si>
    <t>msedge</t>
  </si>
  <si>
    <t>Photoshop</t>
  </si>
  <si>
    <t>PotPlayerMini64</t>
  </si>
  <si>
    <t>POWERPNT</t>
  </si>
  <si>
    <t>QQLive</t>
  </si>
  <si>
    <t>Quicker</t>
  </si>
  <si>
    <t>QQScLauncher</t>
  </si>
  <si>
    <t>QuickerApp</t>
  </si>
  <si>
    <t>SciTE</t>
  </si>
  <si>
    <t>Snipaste</t>
  </si>
  <si>
    <t>Visio</t>
  </si>
  <si>
    <t>WeChat</t>
  </si>
  <si>
    <t>wemeetapp</t>
  </si>
  <si>
    <t>WinRAR</t>
  </si>
  <si>
    <t>WINWORD</t>
  </si>
  <si>
    <t>WXWork</t>
  </si>
  <si>
    <t>YoudaoDict</t>
  </si>
  <si>
    <t>EvernoteNew</t>
  </si>
  <si>
    <t>核桃编程</t>
  </si>
  <si>
    <t>Evernote</t>
  </si>
  <si>
    <t xml:space="preserve">keyFunc_AutoHotkey() </t>
  </si>
  <si>
    <t xml:space="preserve">keyFunc_Chrome() </t>
  </si>
  <si>
    <t xml:space="preserve">keyFunc_Clash() </t>
  </si>
  <si>
    <t xml:space="preserve">keyFunc_DingtalkLauncher() </t>
  </si>
  <si>
    <t xml:space="preserve">keyFunc_Eagle() </t>
  </si>
  <si>
    <t xml:space="preserve">keyFunc_Excel() </t>
  </si>
  <si>
    <t xml:space="preserve">keyFunc_Everything() </t>
  </si>
  <si>
    <t xml:space="preserve">keyFunc_iexplore() </t>
  </si>
  <si>
    <t xml:space="preserve">keyFunc_KuGou() </t>
  </si>
  <si>
    <t xml:space="preserve">keyFunc_LenovoAppStore() </t>
  </si>
  <si>
    <t xml:space="preserve">keyFunc_LenovoPcManager() </t>
  </si>
  <si>
    <t xml:space="preserve">keyFunc_mailmaster() </t>
  </si>
  <si>
    <t xml:space="preserve">keyFunc_msedge() </t>
  </si>
  <si>
    <t xml:space="preserve">keyFunc_Photoshop() </t>
  </si>
  <si>
    <t xml:space="preserve">keyFunc_PotPlayerMini64() </t>
  </si>
  <si>
    <t xml:space="preserve">keyFunc_POWERPNT() </t>
  </si>
  <si>
    <t xml:space="preserve">keyFunc_QQLive() </t>
  </si>
  <si>
    <t xml:space="preserve">keyFunc_Quicker() </t>
  </si>
  <si>
    <t xml:space="preserve">keyFunc_QQScLauncher() </t>
  </si>
  <si>
    <t xml:space="preserve">keyFunc_QuickerApp() </t>
  </si>
  <si>
    <t xml:space="preserve">keyFunc_SciTE() </t>
  </si>
  <si>
    <t xml:space="preserve">keyFunc_Snipaste() </t>
  </si>
  <si>
    <t xml:space="preserve">keyFunc_Visio() </t>
  </si>
  <si>
    <t xml:space="preserve">keyFunc_WeChat() </t>
  </si>
  <si>
    <t xml:space="preserve">keyFunc_wemeetapp() </t>
  </si>
  <si>
    <t xml:space="preserve">keyFunc_WinRAR() </t>
  </si>
  <si>
    <t xml:space="preserve">keyFunc_WINWORD() </t>
  </si>
  <si>
    <t xml:space="preserve">keyFunc_WXWork() </t>
  </si>
  <si>
    <t xml:space="preserve">keyFunc_YoudaoDict() </t>
  </si>
  <si>
    <t xml:space="preserve">keyFunc_EvernoteNew() </t>
  </si>
  <si>
    <t xml:space="preserve">keyFunc_核桃编程() </t>
  </si>
  <si>
    <t xml:space="preserve">keyFunc_Evernote() </t>
  </si>
  <si>
    <t xml:space="preserve"> keyFunc_doNothing()          </t>
    <phoneticPr fontId="2" type="noConversion"/>
  </si>
  <si>
    <t>keyFunc_Copy()</t>
    <phoneticPr fontId="2" type="noConversion"/>
  </si>
  <si>
    <t>keyFunc_Cut()</t>
    <phoneticPr fontId="2" type="noConversion"/>
  </si>
  <si>
    <t>keyFunc_Paste()</t>
    <phoneticPr fontId="2" type="noConversion"/>
  </si>
  <si>
    <t>keyFunc_Undo()</t>
    <phoneticPr fontId="2" type="noConversion"/>
  </si>
  <si>
    <t>keyFunc_Redo()</t>
    <phoneticPr fontId="2" type="noConversion"/>
  </si>
  <si>
    <t>keyFunc_CloseWindow()</t>
    <phoneticPr fontId="2" type="noConversion"/>
  </si>
  <si>
    <t>keyFunc_Enter()</t>
    <phoneticPr fontId="2" type="noConversion"/>
  </si>
  <si>
    <t>keyFunc_Backspace()</t>
    <phoneticPr fontId="2" type="noConversion"/>
  </si>
  <si>
    <t>keyFunc_ESC()</t>
    <phoneticPr fontId="2" type="noConversion"/>
  </si>
  <si>
    <t>keyFunc_CtrlQ()</t>
    <phoneticPr fontId="2" type="noConversion"/>
  </si>
  <si>
    <t>keyFunc_Save()</t>
    <phoneticPr fontId="2" type="noConversion"/>
  </si>
  <si>
    <t>keyFunc_SaveAs()</t>
    <phoneticPr fontId="2" type="noConversion"/>
  </si>
  <si>
    <t>keyFunc_toggleCapsLock()</t>
    <phoneticPr fontId="2" type="noConversion"/>
  </si>
  <si>
    <t>keyFunc_delete()</t>
    <phoneticPr fontId="2" type="noConversion"/>
  </si>
  <si>
    <t>keyFunc_end()</t>
    <phoneticPr fontId="2" type="noConversion"/>
  </si>
  <si>
    <t>keyFunc_home()</t>
    <phoneticPr fontId="2" type="noConversion"/>
  </si>
  <si>
    <t>keyFunc_comma()</t>
    <phoneticPr fontId="2" type="noConversion"/>
  </si>
  <si>
    <t>keyFunc_period()</t>
    <phoneticPr fontId="2" type="noConversion"/>
  </si>
  <si>
    <t>keyFunc_questionMark()</t>
    <phoneticPr fontId="2" type="noConversion"/>
  </si>
  <si>
    <t>keyFunc_exclamationMark()</t>
    <phoneticPr fontId="2" type="noConversion"/>
  </si>
  <si>
    <t>keyFunc_colon()</t>
    <phoneticPr fontId="2" type="noConversion"/>
  </si>
  <si>
    <t>keyFunc_semicolon()</t>
    <phoneticPr fontId="2" type="noConversion"/>
  </si>
  <si>
    <t>keyFunc_singleQuote()</t>
    <phoneticPr fontId="2" type="noConversion"/>
  </si>
  <si>
    <t>keyFunc_doubleQuote()</t>
    <phoneticPr fontId="2" type="noConversion"/>
  </si>
  <si>
    <t>keyFunc_brackets()</t>
    <phoneticPr fontId="2" type="noConversion"/>
  </si>
  <si>
    <t>keyFunc_squareBrackets()</t>
    <phoneticPr fontId="2" type="noConversion"/>
  </si>
  <si>
    <t>keyFunc_curlyBrackets()</t>
    <phoneticPr fontId="2" type="noConversion"/>
  </si>
  <si>
    <t>keyFunc_angleBrackets()</t>
    <phoneticPr fontId="2" type="noConversion"/>
  </si>
  <si>
    <t>keyFunc_backtick()</t>
    <phoneticPr fontId="2" type="noConversion"/>
  </si>
  <si>
    <t>keyFunc_forwardSlash()</t>
    <phoneticPr fontId="2" type="noConversion"/>
  </si>
  <si>
    <t>keyFunc_backSlash()</t>
    <phoneticPr fontId="2" type="noConversion"/>
  </si>
  <si>
    <t>keyFunc_plus()</t>
    <phoneticPr fontId="2" type="noConversion"/>
  </si>
  <si>
    <t>keyFunc_minus()</t>
    <phoneticPr fontId="2" type="noConversion"/>
  </si>
  <si>
    <t>keyFunc_multiply()</t>
    <phoneticPr fontId="2" type="noConversion"/>
  </si>
  <si>
    <t>keyFunc_divide()</t>
    <phoneticPr fontId="2" type="noConversion"/>
  </si>
  <si>
    <t>keyFunc_percent()</t>
    <phoneticPr fontId="2" type="noConversion"/>
  </si>
  <si>
    <t>keyFunc_equal()</t>
    <phoneticPr fontId="2" type="noConversion"/>
  </si>
  <si>
    <t>keyFunc_dollarSign()</t>
    <phoneticPr fontId="2" type="noConversion"/>
  </si>
  <si>
    <t>keyFunc_hash()</t>
    <phoneticPr fontId="2" type="noConversion"/>
  </si>
  <si>
    <t>keyFunc_atSymbol()</t>
    <phoneticPr fontId="2" type="noConversion"/>
  </si>
  <si>
    <t>keyFunc_ampersand()</t>
    <phoneticPr fontId="2" type="noConversion"/>
  </si>
  <si>
    <t>keyFunc_verticalBar()</t>
    <phoneticPr fontId="2" type="noConversion"/>
  </si>
  <si>
    <t>keyFunc_tilde()</t>
    <phoneticPr fontId="2" type="noConversion"/>
  </si>
  <si>
    <t>keyFunc_underscore()</t>
    <phoneticPr fontId="2" type="noConversion"/>
  </si>
  <si>
    <t>keyFunc_BaiduNetdisk</t>
    <phoneticPr fontId="2" type="noConversion"/>
  </si>
  <si>
    <t>BaiduNetdisk</t>
    <phoneticPr fontId="2" type="noConversion"/>
  </si>
  <si>
    <t xml:space="preserve">keyFunc_BaiduNetdisk() </t>
    <phoneticPr fontId="2" type="noConversion"/>
  </si>
  <si>
    <t>keyFunc_Clash</t>
    <phoneticPr fontId="2" type="noConversion"/>
  </si>
  <si>
    <t>keyFunc_Control</t>
    <phoneticPr fontId="2" type="noConversion"/>
  </si>
  <si>
    <t>Control</t>
    <phoneticPr fontId="2" type="noConversion"/>
  </si>
  <si>
    <t xml:space="preserve">keyFunc_Control() </t>
    <phoneticPr fontId="2" type="noConversion"/>
  </si>
  <si>
    <t>notepad</t>
    <phoneticPr fontId="2" type="noConversion"/>
  </si>
  <si>
    <t>keyFunc_notepad</t>
    <phoneticPr fontId="2" type="noConversion"/>
  </si>
  <si>
    <t>keyFunc_notepad()</t>
    <phoneticPr fontId="2" type="noConversion"/>
  </si>
  <si>
    <t>类型</t>
    <phoneticPr fontId="2" type="noConversion"/>
  </si>
  <si>
    <t>Program</t>
    <phoneticPr fontId="2" type="noConversion"/>
  </si>
  <si>
    <t>Windows</t>
    <phoneticPr fontId="2" type="noConversion"/>
  </si>
  <si>
    <t>keyFunc_WinClose()</t>
  </si>
  <si>
    <t>keyFunc_WinMoveLeft()</t>
  </si>
  <si>
    <t>keyFunc_WinRestore()</t>
  </si>
  <si>
    <t>Tab</t>
    <phoneticPr fontId="2" type="noConversion"/>
  </si>
  <si>
    <t>Everything</t>
    <phoneticPr fontId="2" type="noConversion"/>
  </si>
  <si>
    <t>Chrome</t>
    <phoneticPr fontId="2" type="noConversion"/>
  </si>
  <si>
    <t>WeChat</t>
    <phoneticPr fontId="2" type="noConversion"/>
  </si>
  <si>
    <t>WinWord</t>
    <phoneticPr fontId="2" type="noConversion"/>
  </si>
  <si>
    <t>Photoshop</t>
    <phoneticPr fontId="2" type="noConversion"/>
  </si>
  <si>
    <t>Eagle</t>
    <phoneticPr fontId="2" type="noConversion"/>
  </si>
  <si>
    <t>YoudaoDict</t>
    <phoneticPr fontId="2" type="noConversion"/>
  </si>
  <si>
    <t>MailMaster</t>
    <phoneticPr fontId="2" type="noConversion"/>
  </si>
  <si>
    <t>Q</t>
    <phoneticPr fontId="2" type="noConversion"/>
  </si>
  <si>
    <t>I</t>
    <phoneticPr fontId="2" type="noConversion"/>
  </si>
  <si>
    <t>O</t>
    <phoneticPr fontId="2" type="noConversion"/>
  </si>
  <si>
    <t>P</t>
    <phoneticPr fontId="2" type="noConversion"/>
  </si>
  <si>
    <t>K</t>
    <phoneticPr fontId="2" type="noConversion"/>
  </si>
  <si>
    <t>L</t>
    <phoneticPr fontId="2" type="noConversion"/>
  </si>
  <si>
    <t>;</t>
    <phoneticPr fontId="2" type="noConversion"/>
  </si>
  <si>
    <t>'</t>
    <phoneticPr fontId="2" type="noConversion"/>
  </si>
  <si>
    <t xml:space="preserve"> PgUp             </t>
  </si>
  <si>
    <t xml:space="preserve"> keyFunc_PgUp             </t>
  </si>
  <si>
    <t xml:space="preserve"> keyFunc_PgUp()             </t>
  </si>
  <si>
    <t xml:space="preserve"> PgDn           </t>
  </si>
  <si>
    <t xml:space="preserve"> keyFunc_PgDn           </t>
  </si>
  <si>
    <t xml:space="preserve"> keyFunc_PgDn()           </t>
  </si>
  <si>
    <t xml:space="preserve"> pageMoveUp         </t>
    <phoneticPr fontId="2" type="noConversion"/>
  </si>
  <si>
    <t xml:space="preserve"> pageMoveDown       </t>
    <phoneticPr fontId="2" type="noConversion"/>
  </si>
  <si>
    <t xml:space="preserve"> keyfunc_wheel_down()         </t>
    <phoneticPr fontId="2" type="noConversion"/>
  </si>
  <si>
    <t xml:space="preserve"> keyfunc_wheel_up() keyfunc_wheel_down()           </t>
    <phoneticPr fontId="2" type="noConversion"/>
  </si>
  <si>
    <t xml:space="preserve"> keyfunc_mouse_ keyfunc_wheel_()        </t>
    <phoneticPr fontId="2" type="noConversion"/>
  </si>
  <si>
    <t xml:space="preserve"> keyfunc_click_left()         </t>
    <phoneticPr fontId="2" type="noConversion"/>
  </si>
  <si>
    <t>WheelUp</t>
    <phoneticPr fontId="2" type="noConversion"/>
  </si>
  <si>
    <t>WheelDown</t>
    <phoneticPr fontId="2" type="noConversion"/>
  </si>
  <si>
    <t>Mbutton</t>
    <phoneticPr fontId="2" type="noConversion"/>
  </si>
  <si>
    <t>VolumnUp</t>
    <phoneticPr fontId="2" type="noConversion"/>
  </si>
  <si>
    <t>VolumnDown</t>
    <phoneticPr fontId="2" type="noConversion"/>
  </si>
  <si>
    <t>Mute</t>
    <phoneticPr fontId="2" type="noConversion"/>
  </si>
  <si>
    <t>Close</t>
    <phoneticPr fontId="2" type="noConversion"/>
  </si>
  <si>
    <t>解压到文件夹</t>
    <phoneticPr fontId="2" type="noConversion"/>
  </si>
  <si>
    <t>压缩到文件</t>
    <phoneticPr fontId="2" type="noConversion"/>
  </si>
  <si>
    <t>ctrl</t>
    <phoneticPr fontId="2" type="noConversion"/>
  </si>
  <si>
    <t>移动到同名文件夹</t>
    <phoneticPr fontId="2" type="noConversion"/>
  </si>
  <si>
    <t>ReplaceShapesWithFirstSelected</t>
  </si>
  <si>
    <t>No.</t>
    <phoneticPr fontId="2" type="noConversion"/>
  </si>
  <si>
    <t>Name</t>
    <phoneticPr fontId="2" type="noConversion"/>
  </si>
  <si>
    <t>RemoveAnimationsFromSelectedShapes</t>
  </si>
  <si>
    <t>~</t>
    <phoneticPr fontId="2" type="noConversion"/>
  </si>
  <si>
    <t>SciTE/Spy/Help</t>
    <phoneticPr fontId="2" type="noConversion"/>
  </si>
  <si>
    <t>Excel</t>
    <phoneticPr fontId="2" type="noConversion"/>
  </si>
  <si>
    <t xml:space="preserve"> keyFunc_send(p)              </t>
    <phoneticPr fontId="2" type="noConversion"/>
  </si>
  <si>
    <t>v</t>
    <phoneticPr fontId="2" type="noConversion"/>
  </si>
  <si>
    <t>Value</t>
    <phoneticPr fontId="2" type="noConversion"/>
  </si>
  <si>
    <t>Autohotkey</t>
    <phoneticPr fontId="2" type="noConversion"/>
  </si>
  <si>
    <t>Clash</t>
    <phoneticPr fontId="2" type="noConversion"/>
  </si>
  <si>
    <t>DingtalkLauncher</t>
    <phoneticPr fontId="2" type="noConversion"/>
  </si>
  <si>
    <t>Iexplore</t>
    <phoneticPr fontId="2" type="noConversion"/>
  </si>
  <si>
    <t>Kugou</t>
    <phoneticPr fontId="2" type="noConversion"/>
  </si>
  <si>
    <t>LenovoAppStore</t>
    <phoneticPr fontId="2" type="noConversion"/>
  </si>
  <si>
    <t>LenovoPcManager</t>
    <phoneticPr fontId="2" type="noConversion"/>
  </si>
  <si>
    <t>MsEdge</t>
    <phoneticPr fontId="2" type="noConversion"/>
  </si>
  <si>
    <t>Notepad</t>
    <phoneticPr fontId="2" type="noConversion"/>
  </si>
  <si>
    <t>PotPlayerMini64</t>
    <phoneticPr fontId="2" type="noConversion"/>
  </si>
  <si>
    <t>POWERPNT</t>
    <phoneticPr fontId="2" type="noConversion"/>
  </si>
  <si>
    <t>Quicker</t>
    <phoneticPr fontId="2" type="noConversion"/>
  </si>
  <si>
    <t>QQlive</t>
    <phoneticPr fontId="2" type="noConversion"/>
  </si>
  <si>
    <t>QQScLauncher</t>
    <phoneticPr fontId="2" type="noConversion"/>
  </si>
  <si>
    <t>SciTE</t>
    <phoneticPr fontId="2" type="noConversion"/>
  </si>
  <si>
    <t>Snipaste</t>
    <phoneticPr fontId="2" type="noConversion"/>
  </si>
  <si>
    <t>Visio</t>
    <phoneticPr fontId="2" type="noConversion"/>
  </si>
  <si>
    <t>wemeetapp</t>
    <phoneticPr fontId="2" type="noConversion"/>
  </si>
  <si>
    <t>WinRAR</t>
    <phoneticPr fontId="2" type="noConversion"/>
  </si>
  <si>
    <t>WINWORD</t>
    <phoneticPr fontId="2" type="noConversion"/>
  </si>
  <si>
    <t>WXWork</t>
    <phoneticPr fontId="2" type="noConversion"/>
  </si>
  <si>
    <t>Evernote</t>
    <phoneticPr fontId="2" type="noConversion"/>
  </si>
  <si>
    <t>核桃编程</t>
    <phoneticPr fontId="2" type="noConversion"/>
  </si>
  <si>
    <t>Window Spy</t>
    <phoneticPr fontId="2" type="noConversion"/>
  </si>
  <si>
    <t>keyFunc_EnglishUpperLayout</t>
  </si>
  <si>
    <t>keyFunc_ChineseLayout</t>
  </si>
  <si>
    <t>keyFunc_closeWindow</t>
  </si>
  <si>
    <t>keyFunc_PgUp</t>
  </si>
  <si>
    <t>keyFunc_PgDn</t>
  </si>
  <si>
    <t>keyFunc_pageMoveUp</t>
  </si>
  <si>
    <t>EnglishLayout</t>
  </si>
  <si>
    <t>EnglishUpperLayout</t>
  </si>
  <si>
    <t>ChineseLayout</t>
  </si>
  <si>
    <t>closeWindow</t>
  </si>
  <si>
    <t>PgUp</t>
  </si>
  <si>
    <t>PgDn</t>
  </si>
  <si>
    <t>keyFunc_SaveAs</t>
    <phoneticPr fontId="2" type="noConversion"/>
  </si>
  <si>
    <t xml:space="preserve">			keyFunc_EnglishLayout</t>
    <phoneticPr fontId="2" type="noConversion"/>
  </si>
  <si>
    <t>Value</t>
  </si>
  <si>
    <t>keyFunc_EnglishUpperLayout()</t>
  </si>
  <si>
    <t>keyFunc_ChineseLayout()</t>
  </si>
  <si>
    <t>keyFunc_Undo()</t>
  </si>
  <si>
    <t>keyFunc_Redo()</t>
  </si>
  <si>
    <t>keyFunc_closeWindow()</t>
  </si>
  <si>
    <t>keyFunc_Enter()</t>
  </si>
  <si>
    <t>keyFunc_Backspace()</t>
  </si>
  <si>
    <t>keyFunc_ESC()</t>
  </si>
  <si>
    <t>keyFunc_Save()</t>
  </si>
  <si>
    <t>keyFunc_SaveAs()</t>
  </si>
  <si>
    <t>keyFunc_toggleCapsLock()</t>
  </si>
  <si>
    <t>keyFunc_delete()</t>
  </si>
  <si>
    <t>keyFunc_end()</t>
  </si>
  <si>
    <t>keyFunc_home()</t>
  </si>
  <si>
    <t>keyFunc_PgUp()</t>
  </si>
  <si>
    <t>keyFunc_PgDn()</t>
  </si>
  <si>
    <t>keyFunc_pageMoveUp()</t>
  </si>
  <si>
    <t xml:space="preserve">         ()</t>
  </si>
  <si>
    <t xml:space="preserve">			keyFunc_EnglishLayout()</t>
    <phoneticPr fontId="2" type="noConversion"/>
  </si>
  <si>
    <t>pageMoveUp</t>
    <phoneticPr fontId="2" type="noConversion"/>
  </si>
  <si>
    <t>e</t>
    <phoneticPr fontId="2" type="noConversion"/>
  </si>
  <si>
    <t>w</t>
    <phoneticPr fontId="2" type="noConversion"/>
  </si>
  <si>
    <t>t</t>
    <phoneticPr fontId="2" type="noConversion"/>
  </si>
  <si>
    <t>y</t>
    <phoneticPr fontId="2" type="noConversion"/>
  </si>
  <si>
    <t>g</t>
    <phoneticPr fontId="2" type="noConversion"/>
  </si>
  <si>
    <t>f</t>
    <phoneticPr fontId="2" type="noConversion"/>
  </si>
  <si>
    <t>ff</t>
    <phoneticPr fontId="2" type="noConversion"/>
  </si>
  <si>
    <t>type</t>
    <phoneticPr fontId="2" type="noConversion"/>
  </si>
  <si>
    <t>common</t>
    <phoneticPr fontId="2" type="noConversion"/>
  </si>
  <si>
    <t>keyFunc_HotKeyUp</t>
    <phoneticPr fontId="2" type="noConversion"/>
  </si>
  <si>
    <t>keyFunc_EnglishLayout()</t>
  </si>
  <si>
    <t>keyFunc_CapsLock</t>
  </si>
  <si>
    <t>keyFunc_ctrlPgUp</t>
  </si>
  <si>
    <t>keyFunc_ctrlPgDn</t>
  </si>
  <si>
    <t>keyFunc_ctrlHome</t>
  </si>
  <si>
    <t>keyFunc_ctrlEnd</t>
  </si>
  <si>
    <t>keyFunc_deleteLine</t>
  </si>
  <si>
    <t>keyFunc_deleteToLineBeginning</t>
    <phoneticPr fontId="2" type="noConversion"/>
  </si>
  <si>
    <t>keyFunc_deleteToLineEnd</t>
    <phoneticPr fontId="2" type="noConversion"/>
  </si>
  <si>
    <t>keyFunc_deleteToPageBeginning</t>
    <phoneticPr fontId="2" type="noConversion"/>
  </si>
  <si>
    <t>keyFunc_deleteToPageEnd</t>
  </si>
  <si>
    <t>keyFunc_enterWherever</t>
  </si>
  <si>
    <t>keyFunc_shiftTab</t>
  </si>
  <si>
    <t>keyFunc_winRestore</t>
  </si>
  <si>
    <t>keyFunc_Shutdown</t>
  </si>
  <si>
    <t>keyFunc_Restart</t>
  </si>
  <si>
    <t>keyFunc_Logout</t>
  </si>
  <si>
    <t>keyFunc_snapWindowLeft</t>
  </si>
  <si>
    <t>keyFunc_snapWindowRight</t>
  </si>
  <si>
    <t>keyFunc_showDesktop</t>
  </si>
  <si>
    <t>keyFunc_openRunDialog</t>
  </si>
  <si>
    <t>keyFunc_winClose</t>
    <phoneticPr fontId="2" type="noConversion"/>
  </si>
  <si>
    <t>keyFunc_moveWindowToNextMonitor</t>
    <phoneticPr fontId="2" type="noConversion"/>
  </si>
  <si>
    <t>keyFunc_winMin</t>
    <phoneticPr fontId="2" type="noConversion"/>
  </si>
  <si>
    <t>Save/SaveAs</t>
    <phoneticPr fontId="2" type="noConversion"/>
  </si>
  <si>
    <t>Delete</t>
    <phoneticPr fontId="2" type="noConversion"/>
  </si>
  <si>
    <t>Paste</t>
    <phoneticPr fontId="2" type="noConversion"/>
  </si>
  <si>
    <t>Backspace</t>
    <phoneticPr fontId="2" type="noConversion"/>
  </si>
  <si>
    <t>D</t>
    <phoneticPr fontId="2" type="noConversion"/>
  </si>
  <si>
    <t>Copy/Cut</t>
    <phoneticPr fontId="2" type="noConversion"/>
  </si>
  <si>
    <t>下载/文档/图片/桌面/视频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</si>
  <si>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</si>
  <si>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</si>
  <si>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</si>
  <si>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E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</si>
  <si>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</si>
  <si>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</si>
  <si>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</si>
  <si>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J</t>
    <phoneticPr fontId="2" type="noConversion"/>
  </si>
  <si>
    <t>M</t>
    <phoneticPr fontId="2" type="noConversion"/>
  </si>
  <si>
    <t>N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</si>
  <si>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</si>
  <si>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</si>
  <si>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</si>
  <si>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</si>
  <si>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</si>
  <si>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</si>
  <si>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X</t>
    <phoneticPr fontId="2" type="noConversion"/>
  </si>
  <si>
    <t>Y</t>
    <phoneticPr fontId="2" type="noConversion"/>
  </si>
  <si>
    <t>Z</t>
    <phoneticPr fontId="2" type="noConversion"/>
  </si>
  <si>
    <t>[</t>
    <phoneticPr fontId="2" type="noConversion"/>
  </si>
  <si>
    <t>]</t>
    <phoneticPr fontId="2" type="noConversion"/>
  </si>
  <si>
    <t>\</t>
    <phoneticPr fontId="2" type="noConversion"/>
  </si>
  <si>
    <t>&lt;</t>
    <phoneticPr fontId="2" type="noConversion"/>
  </si>
  <si>
    <t>&gt;</t>
    <phoneticPr fontId="2" type="noConversion"/>
  </si>
  <si>
    <t>/</t>
    <phoneticPr fontId="2" type="noConversion"/>
  </si>
  <si>
    <t>Enter</t>
    <phoneticPr fontId="2" type="noConversion"/>
  </si>
  <si>
    <t>winClose</t>
    <phoneticPr fontId="2" type="noConversion"/>
  </si>
  <si>
    <t>superKey</t>
    <phoneticPr fontId="2" type="noConversion"/>
  </si>
  <si>
    <t>BS</t>
    <phoneticPr fontId="2" type="noConversion"/>
  </si>
  <si>
    <t>pptSuperKey</t>
    <phoneticPr fontId="2" type="noConversion"/>
  </si>
  <si>
    <t>pptAKey</t>
    <phoneticPr fontId="2" type="noConversion"/>
  </si>
  <si>
    <t>Home</t>
    <phoneticPr fontId="2" type="noConversion"/>
  </si>
  <si>
    <t>End</t>
    <phoneticPr fontId="2" type="noConversion"/>
  </si>
  <si>
    <t>Scite折叠所有</t>
    <phoneticPr fontId="2" type="noConversion"/>
  </si>
  <si>
    <r>
      <t>Scite</t>
    </r>
    <r>
      <rPr>
        <sz val="11"/>
        <color theme="1"/>
        <rFont val="微软雅黑"/>
        <family val="2"/>
        <charset val="134"/>
      </rPr>
      <t>折叠</t>
    </r>
    <phoneticPr fontId="2" type="noConversion"/>
  </si>
  <si>
    <t>三对齐/左/中/右</t>
    <phoneticPr fontId="2" type="noConversion"/>
  </si>
  <si>
    <t>Group</t>
    <phoneticPr fontId="2" type="noConversion"/>
  </si>
  <si>
    <t>delete</t>
    <phoneticPr fontId="2" type="noConversion"/>
  </si>
  <si>
    <t>copy</t>
    <phoneticPr fontId="2" type="noConversion"/>
  </si>
  <si>
    <t>Undo</t>
    <phoneticPr fontId="2" type="noConversion"/>
  </si>
  <si>
    <t>字体大小增加</t>
    <phoneticPr fontId="2" type="noConversion"/>
  </si>
  <si>
    <t>字体大小减少</t>
    <phoneticPr fontId="2" type="noConversion"/>
  </si>
  <si>
    <t>paste</t>
    <phoneticPr fontId="2" type="noConversion"/>
  </si>
  <si>
    <t>复制纯文本</t>
    <phoneticPr fontId="2" type="noConversion"/>
  </si>
  <si>
    <t>flipH</t>
    <phoneticPr fontId="2" type="noConversion"/>
  </si>
  <si>
    <t>flipV</t>
    <phoneticPr fontId="2" type="noConversion"/>
  </si>
  <si>
    <t>右转90度</t>
    <phoneticPr fontId="2" type="noConversion"/>
  </si>
  <si>
    <t>save/saveAs</t>
    <phoneticPr fontId="2" type="noConversion"/>
  </si>
  <si>
    <t>Union</t>
  </si>
  <si>
    <t>Fragment</t>
  </si>
  <si>
    <t>行距</t>
    <phoneticPr fontId="2" type="noConversion"/>
  </si>
  <si>
    <t>自动换行</t>
    <phoneticPr fontId="2" type="noConversion"/>
  </si>
  <si>
    <t>TextMargin</t>
    <phoneticPr fontId="2" type="noConversion"/>
  </si>
  <si>
    <t>拆成单字</t>
    <phoneticPr fontId="2" type="noConversion"/>
  </si>
  <si>
    <t>对象/文本/图像对话框</t>
    <phoneticPr fontId="2" type="noConversion"/>
  </si>
  <si>
    <t>选择/动画/背景对话框</t>
    <phoneticPr fontId="2" type="noConversion"/>
  </si>
  <si>
    <t>复制剪贴板纯文本</t>
    <phoneticPr fontId="2" type="noConversion"/>
  </si>
  <si>
    <t>Lock</t>
    <phoneticPr fontId="2" type="noConversion"/>
  </si>
  <si>
    <t>更改形状</t>
    <phoneticPr fontId="2" type="noConversion"/>
  </si>
  <si>
    <t>川向分步</t>
    <phoneticPr fontId="2" type="noConversion"/>
  </si>
  <si>
    <t>动画刷</t>
    <phoneticPr fontId="2" type="noConversion"/>
  </si>
  <si>
    <t>名称</t>
    <phoneticPr fontId="2" type="noConversion"/>
  </si>
  <si>
    <t>微信</t>
    <phoneticPr fontId="2" type="noConversion"/>
  </si>
  <si>
    <t>伤心</t>
    <phoneticPr fontId="2" type="noConversion"/>
  </si>
  <si>
    <t>美女</t>
    <phoneticPr fontId="2" type="noConversion"/>
  </si>
  <si>
    <t>发呆</t>
    <phoneticPr fontId="2" type="noConversion"/>
  </si>
  <si>
    <t>墨镜</t>
    <phoneticPr fontId="2" type="noConversion"/>
  </si>
  <si>
    <t>哭</t>
    <phoneticPr fontId="2" type="noConversion"/>
  </si>
  <si>
    <t>羞</t>
    <phoneticPr fontId="2" type="noConversion"/>
  </si>
  <si>
    <t>/:</t>
    <phoneticPr fontId="2" type="noConversion"/>
  </si>
  <si>
    <t>:</t>
    <phoneticPr fontId="2" type="noConversion"/>
  </si>
  <si>
    <t>)</t>
    <phoneticPr fontId="2" type="noConversion"/>
  </si>
  <si>
    <t>|</t>
    <phoneticPr fontId="2" type="noConversion"/>
  </si>
  <si>
    <t>8-)</t>
    <phoneticPr fontId="2" type="noConversion"/>
  </si>
  <si>
    <t>$</t>
    <phoneticPr fontId="2" type="noConversion"/>
  </si>
  <si>
    <t>(</t>
    <phoneticPr fontId="2" type="noConversion"/>
  </si>
  <si>
    <t>-|</t>
    <phoneticPr fontId="2" type="noConversion"/>
  </si>
  <si>
    <t>@</t>
    <phoneticPr fontId="2" type="noConversion"/>
  </si>
  <si>
    <t>+</t>
    <phoneticPr fontId="2" type="noConversion"/>
  </si>
  <si>
    <t>b</t>
    <phoneticPr fontId="2" type="noConversion"/>
  </si>
  <si>
    <t>,@P</t>
    <phoneticPr fontId="2" type="noConversion"/>
  </si>
  <si>
    <t>d</t>
    <phoneticPr fontId="2" type="noConversion"/>
  </si>
  <si>
    <t>|-)</t>
    <phoneticPr fontId="2" type="noConversion"/>
  </si>
  <si>
    <t>!</t>
    <phoneticPr fontId="2" type="noConversion"/>
  </si>
  <si>
    <t>,@</t>
    <phoneticPr fontId="2" type="noConversion"/>
  </si>
  <si>
    <t>-S</t>
    <phoneticPr fontId="2" type="noConversion"/>
  </si>
  <si>
    <t>?</t>
    <phoneticPr fontId="2" type="noConversion"/>
  </si>
  <si>
    <t>,@x</t>
    <phoneticPr fontId="2" type="noConversion"/>
  </si>
  <si>
    <t>,@@</t>
    <phoneticPr fontId="2" type="noConversion"/>
  </si>
  <si>
    <t>,@!</t>
    <phoneticPr fontId="2" type="noConversion"/>
  </si>
  <si>
    <t>!!!</t>
    <phoneticPr fontId="2" type="noConversion"/>
  </si>
  <si>
    <t>xx</t>
    <phoneticPr fontId="2" type="noConversion"/>
  </si>
  <si>
    <t>bye</t>
    <phoneticPr fontId="2" type="noConversion"/>
  </si>
  <si>
    <t>wipe</t>
    <phoneticPr fontId="2" type="noConversion"/>
  </si>
  <si>
    <t>dig</t>
    <phoneticPr fontId="2" type="noConversion"/>
  </si>
  <si>
    <t>handclap</t>
    <phoneticPr fontId="2" type="noConversion"/>
  </si>
  <si>
    <t>&amp;-(</t>
    <phoneticPr fontId="2" type="noConversion"/>
  </si>
  <si>
    <t>B-)</t>
    <phoneticPr fontId="2" type="noConversion"/>
  </si>
  <si>
    <t>&lt;@</t>
    <phoneticPr fontId="2" type="noConversion"/>
  </si>
  <si>
    <t>@&gt;</t>
    <phoneticPr fontId="2" type="noConversion"/>
  </si>
  <si>
    <t>-O</t>
    <phoneticPr fontId="2" type="noConversion"/>
  </si>
  <si>
    <t>&gt;-|</t>
    <phoneticPr fontId="2" type="noConversion"/>
  </si>
  <si>
    <t>P-(</t>
    <phoneticPr fontId="2" type="noConversion"/>
  </si>
  <si>
    <t>'|</t>
    <phoneticPr fontId="2" type="noConversion"/>
  </si>
  <si>
    <t>X-)</t>
    <phoneticPr fontId="2" type="noConversion"/>
  </si>
  <si>
    <t>*</t>
    <phoneticPr fontId="2" type="noConversion"/>
  </si>
  <si>
    <t>@x</t>
    <phoneticPr fontId="2" type="noConversion"/>
  </si>
  <si>
    <t>8*</t>
    <phoneticPr fontId="2" type="noConversion"/>
  </si>
  <si>
    <t>pd</t>
    <phoneticPr fontId="2" type="noConversion"/>
  </si>
  <si>
    <t>beer</t>
    <phoneticPr fontId="2" type="noConversion"/>
  </si>
  <si>
    <t>basketb</t>
    <phoneticPr fontId="2" type="noConversion"/>
  </si>
  <si>
    <t>oo</t>
    <phoneticPr fontId="2" type="noConversion"/>
  </si>
  <si>
    <t>coffee</t>
    <phoneticPr fontId="2" type="noConversion"/>
  </si>
  <si>
    <t>eat</t>
    <phoneticPr fontId="2" type="noConversion"/>
  </si>
  <si>
    <t>pig</t>
    <phoneticPr fontId="2" type="noConversion"/>
  </si>
  <si>
    <t>rose</t>
    <phoneticPr fontId="2" type="noConversion"/>
  </si>
  <si>
    <t>fade</t>
    <phoneticPr fontId="2" type="noConversion"/>
  </si>
  <si>
    <t>showlove</t>
    <phoneticPr fontId="2" type="noConversion"/>
  </si>
  <si>
    <t>heart</t>
    <phoneticPr fontId="2" type="noConversion"/>
  </si>
  <si>
    <t>break</t>
    <phoneticPr fontId="2" type="noConversion"/>
  </si>
  <si>
    <t>cake</t>
    <phoneticPr fontId="2" type="noConversion"/>
  </si>
  <si>
    <t>li</t>
    <phoneticPr fontId="2" type="noConversion"/>
  </si>
  <si>
    <t>哑</t>
    <phoneticPr fontId="2" type="noConversion"/>
  </si>
  <si>
    <t>睡</t>
    <phoneticPr fontId="2" type="noConversion"/>
  </si>
  <si>
    <t>囧</t>
    <phoneticPr fontId="2" type="noConversion"/>
  </si>
  <si>
    <t>怒</t>
    <phoneticPr fontId="2" type="noConversion"/>
  </si>
  <si>
    <t>调皮</t>
    <phoneticPr fontId="2" type="noConversion"/>
  </si>
  <si>
    <t>笑</t>
    <phoneticPr fontId="2" type="noConversion"/>
  </si>
  <si>
    <t>惊讶</t>
    <phoneticPr fontId="2" type="noConversion"/>
  </si>
  <si>
    <t>难过</t>
    <phoneticPr fontId="2" type="noConversion"/>
  </si>
  <si>
    <t>酷</t>
    <phoneticPr fontId="2" type="noConversion"/>
  </si>
  <si>
    <t>汗</t>
    <phoneticPr fontId="2" type="noConversion"/>
  </si>
  <si>
    <t>抓狂</t>
    <phoneticPr fontId="2" type="noConversion"/>
  </si>
  <si>
    <t>吐</t>
    <phoneticPr fontId="2" type="noConversion"/>
  </si>
  <si>
    <t>快乐</t>
    <phoneticPr fontId="2" type="noConversion"/>
  </si>
  <si>
    <t>奇</t>
    <phoneticPr fontId="2" type="noConversion"/>
  </si>
  <si>
    <t>傲</t>
    <phoneticPr fontId="2" type="noConversion"/>
  </si>
  <si>
    <t>饿</t>
    <phoneticPr fontId="2" type="noConversion"/>
  </si>
  <si>
    <t>吓</t>
    <phoneticPr fontId="2" type="noConversion"/>
  </si>
  <si>
    <t>高兴</t>
    <phoneticPr fontId="2" type="noConversion"/>
  </si>
  <si>
    <t>闲</t>
    <phoneticPr fontId="2" type="noConversion"/>
  </si>
  <si>
    <t>努力</t>
    <phoneticPr fontId="2" type="noConversion"/>
  </si>
  <si>
    <t>骂</t>
    <phoneticPr fontId="2" type="noConversion"/>
  </si>
  <si>
    <t>疑问</t>
    <phoneticPr fontId="2" type="noConversion"/>
  </si>
  <si>
    <t>秘密</t>
    <phoneticPr fontId="2" type="noConversion"/>
  </si>
  <si>
    <t>乱</t>
    <phoneticPr fontId="2" type="noConversion"/>
  </si>
  <si>
    <t>疯</t>
    <phoneticPr fontId="2" type="noConversion"/>
  </si>
  <si>
    <t>哀</t>
    <phoneticPr fontId="2" type="noConversion"/>
  </si>
  <si>
    <t>鬼</t>
    <phoneticPr fontId="2" type="noConversion"/>
  </si>
  <si>
    <t>打击</t>
    <phoneticPr fontId="2" type="noConversion"/>
  </si>
  <si>
    <t>抠</t>
    <phoneticPr fontId="2" type="noConversion"/>
  </si>
  <si>
    <t>鼓掌</t>
    <phoneticPr fontId="2" type="noConversion"/>
  </si>
  <si>
    <t>糟糕</t>
    <phoneticPr fontId="2" type="noConversion"/>
  </si>
  <si>
    <t>恶搞</t>
    <phoneticPr fontId="2" type="noConversion"/>
  </si>
  <si>
    <t>什么</t>
    <phoneticPr fontId="2" type="noConversion"/>
  </si>
  <si>
    <t>看</t>
    <phoneticPr fontId="2" type="noConversion"/>
  </si>
  <si>
    <t>累</t>
    <phoneticPr fontId="2" type="noConversion"/>
  </si>
  <si>
    <t>坏</t>
    <phoneticPr fontId="2" type="noConversion"/>
  </si>
  <si>
    <t>亲</t>
    <phoneticPr fontId="2" type="noConversion"/>
  </si>
  <si>
    <t>可怜</t>
    <phoneticPr fontId="2" type="noConversion"/>
  </si>
  <si>
    <t>刀</t>
    <phoneticPr fontId="2" type="noConversion"/>
  </si>
  <si>
    <t>水果</t>
    <phoneticPr fontId="2" type="noConversion"/>
  </si>
  <si>
    <t>酒</t>
    <phoneticPr fontId="2" type="noConversion"/>
  </si>
  <si>
    <t>篮球</t>
    <phoneticPr fontId="2" type="noConversion"/>
  </si>
  <si>
    <t>乒乓</t>
    <phoneticPr fontId="2" type="noConversion"/>
  </si>
  <si>
    <t>咖啡</t>
    <phoneticPr fontId="2" type="noConversion"/>
  </si>
  <si>
    <t>没事</t>
    <phoneticPr fontId="2" type="noConversion"/>
  </si>
  <si>
    <t>动物</t>
    <phoneticPr fontId="2" type="noConversion"/>
  </si>
  <si>
    <t>鲜花</t>
    <phoneticPr fontId="2" type="noConversion"/>
  </si>
  <si>
    <t>枯</t>
    <phoneticPr fontId="2" type="noConversion"/>
  </si>
  <si>
    <t>唇</t>
    <phoneticPr fontId="2" type="noConversion"/>
  </si>
  <si>
    <t>爱</t>
    <phoneticPr fontId="2" type="noConversion"/>
  </si>
  <si>
    <t>分手</t>
    <phoneticPr fontId="2" type="noConversion"/>
  </si>
  <si>
    <t>生日</t>
    <phoneticPr fontId="2" type="noConversion"/>
  </si>
  <si>
    <t>电</t>
    <phoneticPr fontId="2" type="noConversion"/>
  </si>
  <si>
    <t>,@o</t>
    <phoneticPr fontId="2" type="noConversion"/>
  </si>
  <si>
    <t>,@f</t>
    <phoneticPr fontId="2" type="noConversion"/>
  </si>
  <si>
    <t>/::)</t>
  </si>
  <si>
    <t>/::B</t>
  </si>
  <si>
    <t>/::|</t>
  </si>
  <si>
    <t>/::&lt;</t>
  </si>
  <si>
    <t>/::$</t>
  </si>
  <si>
    <t>/::X</t>
  </si>
  <si>
    <t>/::Z</t>
  </si>
  <si>
    <t>/::(</t>
  </si>
  <si>
    <t>/::-|</t>
  </si>
  <si>
    <t>/::@</t>
  </si>
  <si>
    <t>/::P</t>
  </si>
  <si>
    <t>/::D</t>
  </si>
  <si>
    <t>/::O</t>
  </si>
  <si>
    <t>/::+</t>
  </si>
  <si>
    <t>/:b</t>
  </si>
  <si>
    <t>/::Q</t>
  </si>
  <si>
    <t>/::T</t>
  </si>
  <si>
    <t>/::d</t>
  </si>
  <si>
    <t>/::g</t>
  </si>
  <si>
    <t>/::!</t>
  </si>
  <si>
    <t>/::L</t>
  </si>
  <si>
    <t>/::&gt;</t>
  </si>
  <si>
    <t>/:,@f</t>
  </si>
  <si>
    <t>/:?</t>
  </si>
  <si>
    <t>/:,@x</t>
  </si>
  <si>
    <t>/:,@@</t>
  </si>
  <si>
    <t>/::8</t>
  </si>
  <si>
    <t>/:!!!</t>
  </si>
  <si>
    <t>/:xx</t>
  </si>
  <si>
    <t>/:dig</t>
  </si>
  <si>
    <t>/:handclap</t>
  </si>
  <si>
    <t>/:B-)</t>
  </si>
  <si>
    <t>/::-O</t>
  </si>
  <si>
    <t>/:&gt;-|</t>
  </si>
  <si>
    <t>/::*</t>
  </si>
  <si>
    <t>/:@x</t>
  </si>
  <si>
    <t>/:beer</t>
  </si>
  <si>
    <t>/:basketb</t>
  </si>
  <si>
    <t>/:oo</t>
  </si>
  <si>
    <t>/:coffee</t>
  </si>
  <si>
    <t>/:eat</t>
  </si>
  <si>
    <t>/:rose</t>
  </si>
  <si>
    <t>/:fade</t>
  </si>
  <si>
    <t>/:heart</t>
  </si>
  <si>
    <t>/::~</t>
    <phoneticPr fontId="2" type="noConversion"/>
  </si>
  <si>
    <t>/:,@P</t>
    <phoneticPr fontId="2" type="noConversion"/>
  </si>
  <si>
    <t>,@-D</t>
    <phoneticPr fontId="2" type="noConversion"/>
  </si>
  <si>
    <t>/:,@-D</t>
    <phoneticPr fontId="2" type="noConversion"/>
  </si>
  <si>
    <t>/:,@o</t>
    <phoneticPr fontId="2" type="noConversion"/>
  </si>
  <si>
    <t>/:|-)</t>
    <phoneticPr fontId="2" type="noConversion"/>
  </si>
  <si>
    <t>/::,@</t>
    <phoneticPr fontId="2" type="noConversion"/>
  </si>
  <si>
    <t>/:showlove</t>
    <phoneticPr fontId="2" type="noConversion"/>
  </si>
  <si>
    <t>/:break</t>
    <phoneticPr fontId="2" type="noConversion"/>
  </si>
  <si>
    <t>/:li</t>
    <phoneticPr fontId="2" type="noConversion"/>
  </si>
  <si>
    <t>/:cake</t>
    <phoneticPr fontId="2" type="noConversion"/>
  </si>
  <si>
    <t>/:pig</t>
    <phoneticPr fontId="2" type="noConversion"/>
  </si>
  <si>
    <t>/:pd</t>
    <phoneticPr fontId="2" type="noConversion"/>
  </si>
  <si>
    <t>/:8*</t>
    <phoneticPr fontId="2" type="noConversion"/>
  </si>
  <si>
    <t>/:X-)</t>
    <phoneticPr fontId="2" type="noConversion"/>
  </si>
  <si>
    <t>/:P-(</t>
    <phoneticPr fontId="2" type="noConversion"/>
  </si>
  <si>
    <t>/::'|</t>
    <phoneticPr fontId="2" type="noConversion"/>
  </si>
  <si>
    <t>/:@&gt;</t>
    <phoneticPr fontId="2" type="noConversion"/>
  </si>
  <si>
    <t>/:&lt;@</t>
    <phoneticPr fontId="2" type="noConversion"/>
  </si>
  <si>
    <t>/:&amp;-(</t>
    <phoneticPr fontId="2" type="noConversion"/>
  </si>
  <si>
    <t>/:wipe</t>
    <phoneticPr fontId="2" type="noConversion"/>
  </si>
  <si>
    <t>/:bye</t>
    <phoneticPr fontId="2" type="noConversion"/>
  </si>
  <si>
    <t>/:,@!</t>
    <phoneticPr fontId="2" type="noConversion"/>
  </si>
  <si>
    <t>/::-S</t>
    <phoneticPr fontId="2" type="noConversion"/>
  </si>
  <si>
    <t>/:8-)</t>
    <phoneticPr fontId="2" type="noConversion"/>
  </si>
  <si>
    <t>捂脸</t>
    <phoneticPr fontId="2" type="noConversion"/>
  </si>
  <si>
    <t>坏笑</t>
    <phoneticPr fontId="2" type="noConversion"/>
  </si>
  <si>
    <t>哈哈</t>
    <phoneticPr fontId="2" type="noConversion"/>
  </si>
  <si>
    <t>泪</t>
    <phoneticPr fontId="2" type="noConversion"/>
  </si>
  <si>
    <t>大哭</t>
    <phoneticPr fontId="2" type="noConversion"/>
  </si>
  <si>
    <t>咒骂</t>
    <phoneticPr fontId="2" type="noConversion"/>
  </si>
  <si>
    <t>抠鼻</t>
    <phoneticPr fontId="2" type="noConversion"/>
  </si>
  <si>
    <t>微信表情代码有很多，以下是其中一部分：</t>
  </si>
  <si>
    <t>/微笑 /撇嘴 /色 /发呆 /得意</t>
  </si>
  <si>
    <t>/流泪 /害羞 /闭嘴 /睡 /大哭</t>
  </si>
  <si>
    <t>/尴尬 /发怒 /调皮 /呲牙 /惊讶</t>
  </si>
  <si>
    <t>/难过 /酷 /冷汗 /抓狂 /吐</t>
  </si>
  <si>
    <t>/偷笑 /愉快 /白眼 /傲慢 /困</t>
  </si>
  <si>
    <t>/惊恐 /流汗 /憨笑 /悠闲 /奋斗</t>
  </si>
  <si>
    <t>/咒骂 /疑问 /嘘 /晕 /疯了</t>
  </si>
  <si>
    <t>/衰 /骷髅 /敲打 /再见 /擦汗</t>
  </si>
  <si>
    <t>/抠鼻 /鼓掌 /糗大了 /坏笑 /左哼哼</t>
  </si>
  <si>
    <t>/右哼哼 /哈欠 /鄙视 /委屈 /快哭了</t>
  </si>
  <si>
    <t>/阴险 /亲亲 /吓 /可怜 /菜刀</t>
  </si>
  <si>
    <t>/西瓜 /啤酒 /篮球 /乒乓 /咖啡</t>
  </si>
  <si>
    <t>/饭 /猪头 /玫瑰 /凋谢 /示爱</t>
  </si>
  <si>
    <t>/爱心 /心碎 /蛋糕 /闪电 /足球</t>
  </si>
  <si>
    <t>/绿丝带 /木偶 /红鞋 /蜡烛 /礼物</t>
  </si>
  <si>
    <t>呲牙</t>
    <phoneticPr fontId="2" type="noConversion"/>
  </si>
  <si>
    <t>偷笑</t>
    <phoneticPr fontId="2" type="noConversion"/>
  </si>
  <si>
    <t>强</t>
    <phoneticPr fontId="2" type="noConversion"/>
  </si>
  <si>
    <t>玫瑰</t>
    <phoneticPr fontId="2" type="noConversion"/>
  </si>
  <si>
    <t>/酷</t>
  </si>
  <si>
    <t>/大哭</t>
  </si>
  <si>
    <t>/玫瑰</t>
  </si>
  <si>
    <r>
      <t>/</t>
    </r>
    <r>
      <rPr>
        <sz val="10"/>
        <color rgb="FF555555"/>
        <rFont val="微软雅黑"/>
        <family val="2"/>
        <charset val="134"/>
      </rPr>
      <t>爱情</t>
    </r>
    <r>
      <rPr>
        <sz val="10"/>
        <color rgb="FF555555"/>
        <rFont val="Arial"/>
        <family val="2"/>
      </rPr>
      <t xml:space="preserve"> /</t>
    </r>
    <r>
      <rPr>
        <sz val="10"/>
        <color rgb="FF555555"/>
        <rFont val="微软雅黑"/>
        <family val="2"/>
        <charset val="134"/>
      </rPr>
      <t>钱</t>
    </r>
    <r>
      <rPr>
        <sz val="10"/>
        <color rgb="FF555555"/>
        <rFont val="Arial"/>
        <family val="2"/>
      </rPr>
      <t xml:space="preserve"> /</t>
    </r>
    <r>
      <rPr>
        <sz val="10"/>
        <color rgb="FF555555"/>
        <rFont val="微软雅黑"/>
        <family val="2"/>
        <charset val="134"/>
      </rPr>
      <t>药</t>
    </r>
    <r>
      <rPr>
        <sz val="10"/>
        <color rgb="FF555555"/>
        <rFont val="Arial"/>
        <family val="2"/>
      </rPr>
      <t xml:space="preserve"> /</t>
    </r>
    <r>
      <rPr>
        <sz val="10"/>
        <color rgb="FF555555"/>
        <rFont val="微软雅黑"/>
        <family val="2"/>
        <charset val="134"/>
      </rPr>
      <t>皮球</t>
    </r>
    <r>
      <rPr>
        <sz val="10"/>
        <color rgb="FF555555"/>
        <rFont val="Arial"/>
        <family val="2"/>
      </rPr>
      <t xml:space="preserve"> /</t>
    </r>
    <r>
      <rPr>
        <sz val="10"/>
        <color rgb="FF555555"/>
        <rFont val="微软雅黑"/>
        <family val="2"/>
        <charset val="134"/>
      </rPr>
      <t>鼓掌</t>
    </r>
    <phoneticPr fontId="2" type="noConversion"/>
  </si>
  <si>
    <t>笑哭</t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</si>
  <si>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笑哭</t>
    </r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</si>
  <si>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偷笑</t>
    </r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</si>
  <si>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抠鼻</t>
    </r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</si>
  <si>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咒骂</t>
    </r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</si>
  <si>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强</t>
    </r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</si>
  <si>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捂脸</t>
    </r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</si>
  <si>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呲牙</t>
    </r>
    <phoneticPr fontId="2" type="noConversion"/>
  </si>
  <si>
    <t>pptXB1AKey</t>
    <phoneticPr fontId="2" type="noConversion"/>
  </si>
  <si>
    <t>右转15度</t>
    <phoneticPr fontId="2" type="noConversion"/>
  </si>
  <si>
    <t>卫星地球站</t>
    <phoneticPr fontId="2" type="noConversion"/>
  </si>
  <si>
    <t>SavePPTAsCurrentTime</t>
    <phoneticPr fontId="2" type="noConversion"/>
  </si>
  <si>
    <t>changeFontFromIni</t>
    <phoneticPr fontId="2" type="noConversion"/>
  </si>
  <si>
    <t>loadThemeFontFromIni</t>
    <phoneticPr fontId="2" type="noConversion"/>
  </si>
  <si>
    <t>sendEmail</t>
    <phoneticPr fontId="2" type="noConversion"/>
  </si>
  <si>
    <t>关闭右侧对话框</t>
    <phoneticPr fontId="2" type="noConversion"/>
  </si>
  <si>
    <r>
      <rPr>
        <sz val="9"/>
        <color theme="1"/>
        <rFont val="微软雅黑"/>
        <family val="2"/>
        <charset val="134"/>
      </rPr>
      <t>文字对齐</t>
    </r>
    <r>
      <rPr>
        <sz val="9"/>
        <color theme="1"/>
        <rFont val="Arial"/>
        <family val="2"/>
      </rPr>
      <t>/</t>
    </r>
    <r>
      <rPr>
        <sz val="9"/>
        <color theme="1"/>
        <rFont val="微软雅黑"/>
        <family val="2"/>
        <charset val="134"/>
      </rPr>
      <t>左</t>
    </r>
    <r>
      <rPr>
        <sz val="9"/>
        <color theme="1"/>
        <rFont val="Arial"/>
        <family val="2"/>
      </rPr>
      <t>/</t>
    </r>
    <r>
      <rPr>
        <sz val="9"/>
        <color theme="1"/>
        <rFont val="微软雅黑"/>
        <family val="2"/>
        <charset val="134"/>
      </rPr>
      <t>中</t>
    </r>
    <r>
      <rPr>
        <sz val="9"/>
        <color theme="1"/>
        <rFont val="Arial"/>
        <family val="2"/>
      </rPr>
      <t>/</t>
    </r>
    <r>
      <rPr>
        <sz val="9"/>
        <color theme="1"/>
        <rFont val="微软雅黑"/>
        <family val="2"/>
        <charset val="134"/>
      </rPr>
      <t>右</t>
    </r>
    <phoneticPr fontId="2" type="noConversion"/>
  </si>
  <si>
    <r>
      <rPr>
        <sz val="9"/>
        <color theme="1"/>
        <rFont val="微软雅黑"/>
        <family val="2"/>
        <charset val="134"/>
      </rPr>
      <t>文字对齐</t>
    </r>
    <r>
      <rPr>
        <sz val="9"/>
        <color theme="1"/>
        <rFont val="Arial"/>
        <family val="2"/>
      </rPr>
      <t>/</t>
    </r>
    <r>
      <rPr>
        <sz val="9"/>
        <color theme="1"/>
        <rFont val="微软雅黑"/>
        <family val="2"/>
        <charset val="134"/>
      </rPr>
      <t>两端</t>
    </r>
    <r>
      <rPr>
        <sz val="9"/>
        <color theme="1"/>
        <rFont val="Arial"/>
        <family val="2"/>
      </rPr>
      <t>/</t>
    </r>
    <r>
      <rPr>
        <sz val="9"/>
        <color theme="1"/>
        <rFont val="微软雅黑"/>
        <family val="2"/>
        <charset val="134"/>
      </rPr>
      <t>分散</t>
    </r>
    <phoneticPr fontId="2" type="noConversion"/>
  </si>
  <si>
    <r>
      <rPr>
        <sz val="9"/>
        <color theme="1"/>
        <rFont val="微软雅黑"/>
        <family val="2"/>
        <charset val="134"/>
      </rPr>
      <t>川对齐</t>
    </r>
    <r>
      <rPr>
        <sz val="9"/>
        <color theme="1"/>
        <rFont val="Arial"/>
        <family val="2"/>
      </rPr>
      <t>/</t>
    </r>
    <r>
      <rPr>
        <sz val="9"/>
        <color theme="1"/>
        <rFont val="微软雅黑"/>
        <family val="2"/>
        <charset val="134"/>
      </rPr>
      <t>顶/中</t>
    </r>
    <r>
      <rPr>
        <sz val="9"/>
        <color theme="1"/>
        <rFont val="Arial"/>
        <family val="2"/>
      </rPr>
      <t>/</t>
    </r>
    <r>
      <rPr>
        <sz val="9"/>
        <color theme="1"/>
        <rFont val="微软雅黑"/>
        <family val="2"/>
        <charset val="134"/>
      </rPr>
      <t>底</t>
    </r>
    <phoneticPr fontId="2" type="noConversion"/>
  </si>
  <si>
    <t>formatPane</t>
    <phoneticPr fontId="2" type="noConversion"/>
  </si>
  <si>
    <t>动画窗格</t>
    <phoneticPr fontId="2" type="noConversion"/>
  </si>
  <si>
    <t>选择窗格</t>
    <phoneticPr fontId="2" type="noConversion"/>
  </si>
  <si>
    <t>剪贴板</t>
    <phoneticPr fontId="2" type="noConversion"/>
  </si>
  <si>
    <t>pptXB1Space</t>
    <phoneticPr fontId="2" type="noConversion"/>
  </si>
  <si>
    <t>母版/普通/浏览</t>
    <phoneticPr fontId="2" type="noConversion"/>
  </si>
  <si>
    <t>Comments</t>
  </si>
  <si>
    <t>Version History</t>
  </si>
  <si>
    <t>Design Ideas</t>
  </si>
  <si>
    <t>Slide Show</t>
  </si>
  <si>
    <t>Custom Animation</t>
  </si>
  <si>
    <t>Office Clipboard</t>
  </si>
  <si>
    <t>Menu Bar</t>
  </si>
  <si>
    <t>Menu Bar (Slide Show)</t>
  </si>
  <si>
    <t>&amp;Legacy Keyboard Support</t>
  </si>
  <si>
    <t>Standard</t>
  </si>
  <si>
    <t>Formatting</t>
  </si>
  <si>
    <t>Slide Sorter</t>
  </si>
  <si>
    <t>Web</t>
  </si>
  <si>
    <t>Drawing</t>
  </si>
  <si>
    <t>Print Preview</t>
  </si>
  <si>
    <t>Stop Recording</t>
  </si>
  <si>
    <t>Slide Master View</t>
  </si>
  <si>
    <t>Handout Master View</t>
  </si>
  <si>
    <t>Notes Master View</t>
  </si>
  <si>
    <t>Grayscale View</t>
  </si>
  <si>
    <t>WordArt</t>
  </si>
  <si>
    <t>Picture</t>
  </si>
  <si>
    <t>Drawing Canvas</t>
  </si>
  <si>
    <t>Diagram</t>
  </si>
  <si>
    <t>Ink Drawing and Writing</t>
  </si>
  <si>
    <t>Ink Annotations</t>
  </si>
  <si>
    <t>Tables and Borders</t>
  </si>
  <si>
    <t>Organization Chart</t>
  </si>
  <si>
    <t>Recording</t>
  </si>
  <si>
    <t>Reviewing</t>
  </si>
  <si>
    <t>Shadow Settings</t>
  </si>
  <si>
    <t>3-D Settings</t>
  </si>
  <si>
    <t>Control Toolbox</t>
  </si>
  <si>
    <t>Visual Basic</t>
  </si>
  <si>
    <t>Outlining</t>
  </si>
  <si>
    <t>Shortcut Menus</t>
  </si>
  <si>
    <t>Reuse Slides</t>
  </si>
  <si>
    <t>Revisions</t>
  </si>
  <si>
    <t>Always Use Subtitles</t>
  </si>
  <si>
    <t>Slider Sorter</t>
  </si>
  <si>
    <t>Thumbnails</t>
  </si>
  <si>
    <t>Slide Gap</t>
  </si>
  <si>
    <t>Section Label</t>
  </si>
  <si>
    <t>SlideShow Go To Section</t>
  </si>
  <si>
    <t>Notes Pane</t>
  </si>
  <si>
    <t>Outliner</t>
  </si>
  <si>
    <t>Nondefault Drag and Drop</t>
  </si>
  <si>
    <t>Curve</t>
  </si>
  <si>
    <t>OLE Object</t>
  </si>
  <si>
    <t>Connector</t>
  </si>
  <si>
    <t>WordArt Context Menu</t>
  </si>
  <si>
    <t>Rotate Mode</t>
  </si>
  <si>
    <t>Curve Segment</t>
  </si>
  <si>
    <t>Curve Node</t>
  </si>
  <si>
    <t>ActiveX Control</t>
  </si>
  <si>
    <t>Pictures Context Menu</t>
  </si>
  <si>
    <t>Canvas Popup</t>
  </si>
  <si>
    <t>Frames</t>
  </si>
  <si>
    <t>Shapes</t>
  </si>
  <si>
    <t>Notes View Slide</t>
  </si>
  <si>
    <t>Slide Show Browse</t>
  </si>
  <si>
    <t>PowerPoint Previewer</t>
  </si>
  <si>
    <t>Hyperlinked Object</t>
  </si>
  <si>
    <t>Tables</t>
  </si>
  <si>
    <t>Table Cells</t>
  </si>
  <si>
    <t>Organization Chart Popup</t>
  </si>
  <si>
    <t>OrgChart Text Edit PopUp</t>
  </si>
  <si>
    <t>Comment Popup</t>
  </si>
  <si>
    <t>Slide View Ink Annotation Popup</t>
  </si>
  <si>
    <t>Revision Marker Popup</t>
  </si>
  <si>
    <t>Fill Color</t>
  </si>
  <si>
    <t>Line Color</t>
  </si>
  <si>
    <t>Font Color</t>
  </si>
  <si>
    <t>Annotation Pens</t>
  </si>
  <si>
    <t>Drawing and Writing Pens</t>
  </si>
  <si>
    <t>Order</t>
  </si>
  <si>
    <t>Nudge</t>
  </si>
  <si>
    <t>Rotate or Flip</t>
  </si>
  <si>
    <t>Align or Distribute</t>
  </si>
  <si>
    <t>Insert Shape</t>
  </si>
  <si>
    <t>Lines</t>
  </si>
  <si>
    <t>Connectors</t>
  </si>
  <si>
    <t>Basic Shapes</t>
  </si>
  <si>
    <t>Callouts</t>
  </si>
  <si>
    <t>Flowchart</t>
  </si>
  <si>
    <t>Block Arrows</t>
  </si>
  <si>
    <t>Stars &amp; Banners</t>
  </si>
  <si>
    <t>Action Buttons</t>
  </si>
  <si>
    <t>Borders</t>
  </si>
  <si>
    <t>AutoShapes</t>
  </si>
  <si>
    <t>Clipboard</t>
  </si>
  <si>
    <t>Envelope</t>
  </si>
  <si>
    <t>System</t>
  </si>
  <si>
    <t>Task Pane</t>
  </si>
  <si>
    <t>Property Editor</t>
  </si>
  <si>
    <t>XML Source</t>
  </si>
  <si>
    <t>Research</t>
  </si>
  <si>
    <t>XML Document</t>
  </si>
  <si>
    <t>Signatures</t>
  </si>
  <si>
    <t>Document Actions</t>
  </si>
  <si>
    <t>Clip Art</t>
  </si>
  <si>
    <t>Business Bar</t>
  </si>
  <si>
    <t>Selection</t>
  </si>
  <si>
    <t>Reading Order</t>
  </si>
  <si>
    <t>Format Object</t>
  </si>
  <si>
    <t>Document Management</t>
  </si>
  <si>
    <t>Document Updates</t>
  </si>
  <si>
    <t>Mail Merge Panes</t>
  </si>
  <si>
    <t>Fax Service</t>
  </si>
  <si>
    <t>Meeting Workspace</t>
  </si>
  <si>
    <t>Attachment Options</t>
  </si>
  <si>
    <t>Accessibility</t>
  </si>
  <si>
    <t>Editor</t>
  </si>
  <si>
    <t>Dictionaries</t>
  </si>
  <si>
    <t>Thesaurus</t>
  </si>
  <si>
    <t>History</t>
  </si>
  <si>
    <t>Share</t>
  </si>
  <si>
    <t>Smart Lookup</t>
  </si>
  <si>
    <t>Researcher</t>
  </si>
  <si>
    <t>Insert From File</t>
  </si>
  <si>
    <t>Help</t>
  </si>
  <si>
    <t>Online Content</t>
  </si>
  <si>
    <t>Alt Text</t>
  </si>
  <si>
    <t>Feedback</t>
  </si>
  <si>
    <t>Data Selector</t>
  </si>
  <si>
    <t>Contact Support</t>
  </si>
  <si>
    <t>Troubleshooter</t>
  </si>
  <si>
    <t>Activity</t>
  </si>
  <si>
    <t>Admin Tenant Portal</t>
  </si>
  <si>
    <t>Notifications</t>
  </si>
  <si>
    <t>User Voice</t>
  </si>
  <si>
    <t>Search Feedback</t>
  </si>
  <si>
    <t>Do more with Surface</t>
  </si>
  <si>
    <t>Outlook Room Finder Pane</t>
  </si>
  <si>
    <t>Outlook Meeting Insights Pane</t>
  </si>
  <si>
    <t>Outlook Notifications Pane</t>
  </si>
  <si>
    <t>Diagnostic Pane</t>
  </si>
  <si>
    <t>Data Types Refresh Settings</t>
  </si>
  <si>
    <t>Outlook My Day Pane</t>
  </si>
  <si>
    <t>Changes</t>
  </si>
  <si>
    <t>Outlook FindTime Pane</t>
  </si>
  <si>
    <t>Unsaved Changes</t>
  </si>
  <si>
    <t>Workbook Performance</t>
  </si>
  <si>
    <t>Excel Task Pane</t>
  </si>
  <si>
    <t>Workbook Links</t>
  </si>
  <si>
    <t>Diagnostics</t>
  </si>
  <si>
    <t>Python in Excel (preview)</t>
  </si>
  <si>
    <t>Hello AI</t>
  </si>
  <si>
    <t>Accessibility Assistant</t>
  </si>
  <si>
    <t>Advertisement</t>
  </si>
  <si>
    <t>Outlook MetaOS App Side Pane</t>
  </si>
  <si>
    <t>Status Bar</t>
  </si>
  <si>
    <t>Ribbon</t>
  </si>
  <si>
    <t>moveWindow</t>
    <phoneticPr fontId="2" type="noConversion"/>
  </si>
  <si>
    <r>
      <rPr>
        <sz val="11"/>
        <color theme="1"/>
        <rFont val="微软雅黑"/>
        <family val="2"/>
        <charset val="134"/>
      </rPr>
      <t>本地</t>
    </r>
    <r>
      <rPr>
        <sz val="11"/>
        <color theme="1"/>
        <rFont val="Arial"/>
        <family val="2"/>
      </rPr>
      <t>/</t>
    </r>
    <r>
      <rPr>
        <sz val="11"/>
        <color theme="1"/>
        <rFont val="微软雅黑"/>
        <family val="2"/>
        <charset val="134"/>
      </rPr>
      <t>复制</t>
    </r>
    <r>
      <rPr>
        <sz val="11"/>
        <color theme="1"/>
        <rFont val="Arial"/>
        <family val="2"/>
      </rPr>
      <t>/</t>
    </r>
    <r>
      <rPr>
        <sz val="11"/>
        <color theme="1"/>
        <rFont val="微软雅黑"/>
        <family val="2"/>
        <charset val="134"/>
      </rPr>
      <t>服务器排班表</t>
    </r>
    <phoneticPr fontId="2" type="noConversion"/>
  </si>
  <si>
    <t>reload</t>
    <phoneticPr fontId="2" type="noConversion"/>
  </si>
  <si>
    <t xml:space="preserve">Ditto1_Num1  </t>
    <phoneticPr fontId="2" type="noConversion"/>
  </si>
  <si>
    <t>Ditto2_Num2</t>
  </si>
  <si>
    <t>Ditto3_Num3</t>
  </si>
  <si>
    <t>Ditto4_Num4</t>
  </si>
  <si>
    <t>Ditto5_Num5</t>
  </si>
  <si>
    <t>Ditto6_Num6</t>
  </si>
  <si>
    <t>Ditto7_Num7</t>
  </si>
  <si>
    <t>Ditto8_Num8</t>
  </si>
  <si>
    <t>Ditto9_Num9</t>
  </si>
  <si>
    <t>复制文本到MJ</t>
    <phoneticPr fontId="2" type="noConversion"/>
  </si>
  <si>
    <t>MJToEnglish</t>
    <phoneticPr fontId="2" type="noConversion"/>
  </si>
  <si>
    <t>XB1Key(ppt)</t>
    <phoneticPr fontId="2" type="noConversion"/>
  </si>
  <si>
    <t>keyFunc_pptSelectionPane()</t>
  </si>
  <si>
    <t>keyFunc_pptAnimationCustom()</t>
  </si>
  <si>
    <t>keyFunc_pptShowClipboard()</t>
  </si>
  <si>
    <t>keyFunc_FormatDialog()</t>
    <phoneticPr fontId="2" type="noConversion"/>
  </si>
  <si>
    <t>插入文本框ACP</t>
    <phoneticPr fontId="2" type="noConversion"/>
  </si>
  <si>
    <r>
      <rPr>
        <sz val="9"/>
        <color theme="1"/>
        <rFont val="微软雅黑"/>
        <family val="2"/>
        <charset val="134"/>
      </rPr>
      <t>插入矩形</t>
    </r>
    <r>
      <rPr>
        <sz val="9"/>
        <color theme="1"/>
        <rFont val="zGilroy-Regular"/>
      </rPr>
      <t>ACP</t>
    </r>
    <phoneticPr fontId="2" type="noConversion"/>
  </si>
  <si>
    <t>splitPPT</t>
    <phoneticPr fontId="2" type="noConversion"/>
  </si>
  <si>
    <t>输出jpg</t>
    <phoneticPr fontId="2" type="noConversion"/>
  </si>
  <si>
    <t>静态图</t>
    <phoneticPr fontId="2" type="noConversion"/>
  </si>
  <si>
    <t>导出gif</t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</si>
  <si>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坏笑</t>
    </r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</si>
  <si>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哈哈</t>
    </r>
    <phoneticPr fontId="2" type="noConversion"/>
  </si>
  <si>
    <r>
      <t>/</t>
    </r>
    <r>
      <rPr>
        <sz val="11"/>
        <color theme="1"/>
        <rFont val="微软雅黑"/>
        <family val="2"/>
        <charset val="134"/>
      </rPr>
      <t>泪</t>
    </r>
    <phoneticPr fontId="2" type="noConversion"/>
  </si>
  <si>
    <t>添加参考线/删除</t>
    <phoneticPr fontId="2" type="noConversion"/>
  </si>
  <si>
    <t>扩展到参考线</t>
    <phoneticPr fontId="2" type="noConversion"/>
  </si>
  <si>
    <t>左对齐参考线</t>
    <phoneticPr fontId="2" type="noConversion"/>
  </si>
  <si>
    <t>pptRBCtrlKey</t>
    <phoneticPr fontId="2" type="noConversion"/>
  </si>
  <si>
    <t>awawwaw</t>
    <phoneticPr fontId="2" type="noConversion"/>
  </si>
  <si>
    <t>wawwwaw</t>
    <phoneticPr fontId="2" type="noConversion"/>
  </si>
  <si>
    <t>aaaaaaaaaaa</t>
    <phoneticPr fontId="2" type="noConversion"/>
  </si>
  <si>
    <t>aaaaaaaaaa</t>
    <phoneticPr fontId="2" type="noConversion"/>
  </si>
  <si>
    <t xml:space="preserve">           </t>
    <phoneticPr fontId="2" type="noConversion"/>
  </si>
  <si>
    <t xml:space="preserve">        </t>
    <phoneticPr fontId="2" type="noConversion"/>
  </si>
  <si>
    <t>aaaaaaaaaaaa</t>
    <phoneticPr fontId="2" type="noConversion"/>
  </si>
  <si>
    <t>aaaaaaaaaaaaaaa</t>
    <phoneticPr fontId="2" type="noConversion"/>
  </si>
  <si>
    <t>a</t>
    <phoneticPr fontId="2" type="noConversion"/>
  </si>
  <si>
    <t>aaawwwaww</t>
    <phoneticPr fontId="2" type="noConversion"/>
  </si>
  <si>
    <t>pptXButton1</t>
    <phoneticPr fontId="2" type="noConversion"/>
  </si>
  <si>
    <t>pptRButton</t>
    <phoneticPr fontId="2" type="noConversion"/>
  </si>
  <si>
    <t>pptRBSpace</t>
    <phoneticPr fontId="2" type="noConversion"/>
  </si>
  <si>
    <t>扩展到左边形状</t>
    <phoneticPr fontId="2" type="noConversion"/>
  </si>
  <si>
    <t>整体左对齐参考线</t>
    <phoneticPr fontId="2" type="noConversion"/>
  </si>
  <si>
    <t>扩展到边界</t>
    <phoneticPr fontId="2" type="noConversion"/>
  </si>
  <si>
    <t>pptRBAKey</t>
    <phoneticPr fontId="2" type="noConversion"/>
  </si>
  <si>
    <t>pptSpace</t>
    <phoneticPr fontId="2" type="noConversion"/>
  </si>
  <si>
    <t>三向分布</t>
    <phoneticPr fontId="2" type="noConversion"/>
  </si>
  <si>
    <t>左对齐边界</t>
    <phoneticPr fontId="2" type="noConversion"/>
  </si>
  <si>
    <t>pptCtrl</t>
    <phoneticPr fontId="2" type="noConversion"/>
  </si>
  <si>
    <r>
      <rPr>
        <sz val="9"/>
        <color theme="1"/>
        <rFont val="微软雅黑"/>
        <family val="2"/>
        <charset val="134"/>
      </rPr>
      <t>三向分布</t>
    </r>
    <r>
      <rPr>
        <sz val="9"/>
        <color theme="1"/>
        <rFont val="zGilroy-Regular"/>
      </rPr>
      <t>+ 2</t>
    </r>
    <phoneticPr fontId="2" type="noConversion"/>
  </si>
  <si>
    <r>
      <rPr>
        <sz val="9"/>
        <color theme="1"/>
        <rFont val="微软雅黑"/>
        <family val="2"/>
        <charset val="134"/>
      </rPr>
      <t>三向分布</t>
    </r>
    <r>
      <rPr>
        <sz val="9"/>
        <color theme="1"/>
        <rFont val="zGilroy-Regular"/>
      </rPr>
      <t>- 2</t>
    </r>
    <phoneticPr fontId="2" type="noConversion"/>
  </si>
  <si>
    <t>顶对齐边界</t>
    <phoneticPr fontId="2" type="noConversion"/>
  </si>
  <si>
    <t>顶对齐参考线</t>
    <phoneticPr fontId="2" type="noConversion"/>
  </si>
  <si>
    <r>
      <rPr>
        <sz val="9"/>
        <color theme="1"/>
        <rFont val="微软雅黑"/>
        <family val="2"/>
        <charset val="134"/>
      </rPr>
      <t>川向分步</t>
    </r>
    <r>
      <rPr>
        <sz val="9"/>
        <color theme="1"/>
        <rFont val="zGilroy-Regular"/>
        <family val="2"/>
        <charset val="134"/>
      </rPr>
      <t>+2</t>
    </r>
    <phoneticPr fontId="2" type="noConversion"/>
  </si>
  <si>
    <t>川向分步-2</t>
    <phoneticPr fontId="2" type="noConversion"/>
  </si>
  <si>
    <t>pptLButton</t>
    <phoneticPr fontId="2" type="noConversion"/>
  </si>
  <si>
    <t>显示参考线</t>
    <phoneticPr fontId="2" type="noConversion"/>
  </si>
  <si>
    <t>隐藏对象</t>
    <phoneticPr fontId="2" type="noConversion"/>
  </si>
  <si>
    <t>函数名称</t>
    <phoneticPr fontId="2" type="noConversion"/>
  </si>
  <si>
    <t>函数名称2</t>
    <phoneticPr fontId="2" type="noConversion"/>
  </si>
  <si>
    <t>函数类型</t>
    <phoneticPr fontId="2" type="noConversion"/>
  </si>
  <si>
    <t>keyFunc123_Flip</t>
  </si>
  <si>
    <t>keyFunc123_DistributeIII</t>
  </si>
  <si>
    <t>keyFunc123_DistributeE</t>
  </si>
  <si>
    <t>keyFunc333_ExportAsJPG</t>
  </si>
  <si>
    <t>keyFunc333_ExportAsGIF</t>
  </si>
  <si>
    <t>keyFunc333_writeReadThemeFromIni</t>
  </si>
  <si>
    <t>keyFunc333_expandGroupToGuides</t>
  </si>
  <si>
    <t>keyFunc_FormatDialog</t>
    <phoneticPr fontId="2" type="noConversion"/>
  </si>
  <si>
    <t>keyFunc123_VBA</t>
  </si>
  <si>
    <t>keyFunc123_LockShapes</t>
  </si>
  <si>
    <t>keyFunc123_ChangeShapeType</t>
  </si>
  <si>
    <t>keyFunc123_ParagraphAlignLeft</t>
  </si>
  <si>
    <t>keyFunc123_ParagraphAlignJustify</t>
  </si>
  <si>
    <t>keyFunc123_FrontBack</t>
  </si>
  <si>
    <t>keyFunc123_ObjectsAlignE</t>
  </si>
  <si>
    <t>keyFunc123_AlignGuideE</t>
  </si>
  <si>
    <t>keyFunc123_AlignPageE</t>
  </si>
  <si>
    <t>keyFunc123_AlignGuideIII</t>
  </si>
  <si>
    <t>keyFunc123_AlignPageIII</t>
  </si>
  <si>
    <t>keyFunc123_ObjectsAlignIII</t>
  </si>
  <si>
    <t>keyFunc123_ObjectFormatPane</t>
  </si>
  <si>
    <t>keyFunc123_LineFormatPane</t>
  </si>
  <si>
    <t>keyFunc123_TextFormatPane</t>
  </si>
  <si>
    <t>keyFunc123_PicFormatPane</t>
  </si>
  <si>
    <t>keyFunc123_SelectionPane</t>
  </si>
  <si>
    <t>keyFunc123_View</t>
  </si>
  <si>
    <t>keyFunc333_Split</t>
  </si>
  <si>
    <t>keyFunc333_Group</t>
  </si>
  <si>
    <t>keyFunc333_Fragment</t>
  </si>
  <si>
    <t>keyFunc333_Union</t>
  </si>
  <si>
    <t>keyFunc_VisualBasic</t>
  </si>
  <si>
    <t>keyFunc_FrameClass</t>
  </si>
  <si>
    <t>keyFunc123_AddGuides</t>
    <phoneticPr fontId="2" type="noConversion"/>
  </si>
  <si>
    <t>keyFunc_ExpandSpacingE</t>
  </si>
  <si>
    <t>keyFunc_ExpandSpacingIII</t>
  </si>
  <si>
    <t>keyFunc_ReduceSpacingE</t>
  </si>
  <si>
    <t>keyFunc_ReduceSpacingIII</t>
  </si>
  <si>
    <t>pptXB1Ctr</t>
    <phoneticPr fontId="2" type="noConversion"/>
  </si>
  <si>
    <t>keyFunc_ExpandSpacingE</t>
    <phoneticPr fontId="2" type="noConversion"/>
  </si>
  <si>
    <t>keyFunc123_AlignGuideIII</t>
    <phoneticPr fontId="2" type="noConversion"/>
  </si>
  <si>
    <t>keyFunc123_AlignGuideE</t>
    <phoneticPr fontId="2" type="noConversion"/>
  </si>
  <si>
    <t>keyFunc123_AlignPageE</t>
    <phoneticPr fontId="2" type="noConversion"/>
  </si>
  <si>
    <t>keyFunc123_AlignPageIII</t>
    <phoneticPr fontId="2" type="noConversion"/>
  </si>
  <si>
    <t>RBKey</t>
    <phoneticPr fontId="2" type="noConversion"/>
  </si>
  <si>
    <t>down</t>
    <phoneticPr fontId="2" type="noConversion"/>
  </si>
  <si>
    <t>right</t>
    <phoneticPr fontId="2" type="noConversion"/>
  </si>
  <si>
    <t>left</t>
    <phoneticPr fontId="2" type="noConversion"/>
  </si>
  <si>
    <t>aKey</t>
    <phoneticPr fontId="2" type="noConversion"/>
  </si>
  <si>
    <t>LBKey</t>
    <phoneticPr fontId="2" type="noConversion"/>
  </si>
  <si>
    <t>spaceKey</t>
    <phoneticPr fontId="2" type="noConversion"/>
  </si>
  <si>
    <t xml:space="preserve"> </t>
    <phoneticPr fontId="2" type="noConversion"/>
  </si>
  <si>
    <t>A</t>
    <phoneticPr fontId="2" type="noConversion"/>
  </si>
  <si>
    <t>S</t>
    <phoneticPr fontId="2" type="noConversion"/>
  </si>
  <si>
    <t>D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</si>
  <si>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</si>
  <si>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</si>
  <si>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</si>
  <si>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</si>
  <si>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</si>
  <si>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</si>
  <si>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Z</t>
    <phoneticPr fontId="2" type="noConversion"/>
  </si>
  <si>
    <t>X</t>
    <phoneticPr fontId="2" type="noConversion"/>
  </si>
  <si>
    <t>C</t>
    <phoneticPr fontId="2" type="noConversion"/>
  </si>
  <si>
    <t>V</t>
    <phoneticPr fontId="2" type="noConversion"/>
  </si>
  <si>
    <t>B</t>
    <phoneticPr fontId="2" type="noConversion"/>
  </si>
  <si>
    <t>N</t>
    <phoneticPr fontId="2" type="noConversion"/>
  </si>
  <si>
    <t>M</t>
    <phoneticPr fontId="2" type="noConversion"/>
  </si>
  <si>
    <t>Q</t>
    <phoneticPr fontId="2" type="noConversion"/>
  </si>
  <si>
    <t>W</t>
    <phoneticPr fontId="2" type="noConversion"/>
  </si>
  <si>
    <t>E</t>
    <phoneticPr fontId="2" type="noConversion"/>
  </si>
  <si>
    <t>R</t>
    <phoneticPr fontId="2" type="noConversion"/>
  </si>
  <si>
    <t>T</t>
    <phoneticPr fontId="2" type="noConversion"/>
  </si>
  <si>
    <t>Y</t>
    <phoneticPr fontId="2" type="noConversion"/>
  </si>
  <si>
    <t>U</t>
    <phoneticPr fontId="2" type="noConversion"/>
  </si>
  <si>
    <t>I</t>
    <phoneticPr fontId="2" type="noConversion"/>
  </si>
  <si>
    <t>P</t>
    <phoneticPr fontId="2" type="noConversion"/>
  </si>
  <si>
    <t>O</t>
    <phoneticPr fontId="2" type="noConversion"/>
  </si>
  <si>
    <t>PgUp</t>
    <phoneticPr fontId="2" type="noConversion"/>
  </si>
  <si>
    <t>PgDn</t>
    <phoneticPr fontId="2" type="noConversion"/>
  </si>
  <si>
    <t>switchProgram</t>
    <phoneticPr fontId="2" type="noConversion"/>
  </si>
  <si>
    <t xml:space="preserve"> </t>
    <phoneticPr fontId="2" type="noConversion"/>
  </si>
  <si>
    <t>太多</t>
  </si>
  <si>
    <t>太多</t>
    <phoneticPr fontId="2" type="noConversion"/>
  </si>
  <si>
    <t>Notepad</t>
  </si>
  <si>
    <t>QQlive</t>
  </si>
  <si>
    <t>Window Spy</t>
  </si>
  <si>
    <t>MsEdge太多</t>
    <phoneticPr fontId="2" type="noConversion"/>
  </si>
  <si>
    <t>Notepad太多</t>
  </si>
  <si>
    <t>Photoshop太多</t>
  </si>
  <si>
    <t>PotPlayerMini64太多</t>
  </si>
  <si>
    <t>POWERPNT太多</t>
  </si>
  <si>
    <t>QQlive太多</t>
  </si>
  <si>
    <t>Quicker太多</t>
  </si>
  <si>
    <t>QQScLauncher太多</t>
  </si>
  <si>
    <t>SciTE太多</t>
  </si>
  <si>
    <t>Snipaste太多</t>
  </si>
  <si>
    <t>Visio太多</t>
  </si>
  <si>
    <t>WeChat太多</t>
  </si>
  <si>
    <t>wemeetapp太多</t>
  </si>
  <si>
    <t>Window Spy太多</t>
  </si>
  <si>
    <t>WinRAR太多</t>
  </si>
  <si>
    <t>WINWORD太多</t>
  </si>
  <si>
    <t>WXWork太多</t>
  </si>
  <si>
    <t>YoudaoDict太多</t>
  </si>
  <si>
    <t>核桃编程太多</t>
  </si>
  <si>
    <t>一万</t>
  </si>
  <si>
    <t>excelFullScreen</t>
    <phoneticPr fontId="2" type="noConversion"/>
  </si>
  <si>
    <t xml:space="preserve"> </t>
    <phoneticPr fontId="2" type="noConversion"/>
  </si>
  <si>
    <t>XB1Key</t>
    <phoneticPr fontId="2" type="noConversion"/>
  </si>
  <si>
    <t>winMinDesktop</t>
    <phoneticPr fontId="2" type="noConversion"/>
  </si>
  <si>
    <t>winRestore</t>
    <phoneticPr fontId="2" type="noConversion"/>
  </si>
  <si>
    <t>ocrMean</t>
    <phoneticPr fontId="2" type="noConversion"/>
  </si>
  <si>
    <t>dd</t>
    <phoneticPr fontId="2" type="noConversion"/>
  </si>
  <si>
    <t>r</t>
    <phoneticPr fontId="2" type="noConversion"/>
  </si>
  <si>
    <t>f1</t>
    <phoneticPr fontId="2" type="noConversion"/>
  </si>
  <si>
    <t>f2</t>
    <phoneticPr fontId="2" type="noConversion"/>
  </si>
  <si>
    <t>f3</t>
    <phoneticPr fontId="2" type="noConversion"/>
  </si>
  <si>
    <t>f4</t>
    <phoneticPr fontId="2" type="noConversion"/>
  </si>
  <si>
    <t>f5</t>
    <phoneticPr fontId="2" type="noConversion"/>
  </si>
  <si>
    <t>esc</t>
    <phoneticPr fontId="2" type="noConversion"/>
  </si>
  <si>
    <r>
      <rPr>
        <sz val="11"/>
        <color theme="1"/>
        <rFont val="微软雅黑"/>
        <family val="2"/>
        <charset val="134"/>
      </rPr>
      <t>维护表</t>
    </r>
    <r>
      <rPr>
        <sz val="11"/>
        <color theme="1"/>
        <rFont val="Arial"/>
        <family val="2"/>
      </rPr>
      <t>/</t>
    </r>
    <r>
      <rPr>
        <sz val="11"/>
        <color theme="1"/>
        <rFont val="微软雅黑"/>
        <family val="2"/>
        <charset val="134"/>
      </rPr>
      <t>运维通</t>
    </r>
    <r>
      <rPr>
        <sz val="11"/>
        <color theme="1"/>
        <rFont val="Arial"/>
        <family val="2"/>
      </rPr>
      <t>/</t>
    </r>
    <r>
      <rPr>
        <sz val="11"/>
        <color theme="1"/>
        <rFont val="微软雅黑"/>
        <family val="2"/>
        <charset val="134"/>
      </rPr>
      <t>培训</t>
    </r>
    <phoneticPr fontId="2" type="noConversion"/>
  </si>
  <si>
    <t>MoveFilesIntoSameNameFolders</t>
  </si>
  <si>
    <t>xb1</t>
    <phoneticPr fontId="2" type="noConversion"/>
  </si>
  <si>
    <t>l</t>
    <phoneticPr fontId="2" type="noConversion"/>
  </si>
  <si>
    <r>
      <rPr>
        <sz val="9"/>
        <color theme="1"/>
        <rFont val="微软雅黑"/>
        <family val="2"/>
        <charset val="134"/>
      </rPr>
      <t>置于底层</t>
    </r>
    <r>
      <rPr>
        <sz val="9"/>
        <color theme="1"/>
        <rFont val="Arial"/>
        <family val="2"/>
      </rPr>
      <t>/</t>
    </r>
    <r>
      <rPr>
        <sz val="9"/>
        <color theme="1"/>
        <rFont val="微软雅黑"/>
        <family val="2"/>
        <charset val="134"/>
      </rPr>
      <t>置于顶层</t>
    </r>
    <phoneticPr fontId="2" type="noConversion"/>
  </si>
  <si>
    <t>javascript:document.querySelector("#content &gt; div.row.site-content.py-4.py-md-5.mb-xl-5.mb-0.mx-xxxl-n5 &gt; div.col.mt-4.mt-sm-0 &gt; div &gt; div &gt; div.site-go.mt-3 &gt; span &gt; a &gt; span").click()</t>
    <phoneticPr fontId="2" type="noConversion"/>
  </si>
  <si>
    <t>GL</t>
    <phoneticPr fontId="2" type="noConversion"/>
  </si>
  <si>
    <t>GS</t>
    <phoneticPr fontId="2" type="noConversion"/>
  </si>
  <si>
    <t>GC</t>
    <phoneticPr fontId="2" type="noConversion"/>
  </si>
  <si>
    <t>GR</t>
    <phoneticPr fontId="2" type="noConversion"/>
  </si>
  <si>
    <t>GX</t>
    <phoneticPr fontId="2" type="noConversion"/>
  </si>
  <si>
    <t>GA</t>
    <phoneticPr fontId="2" type="noConversion"/>
  </si>
  <si>
    <t>PX</t>
    <phoneticPr fontId="2" type="noConversion"/>
  </si>
  <si>
    <t>PC</t>
    <phoneticPr fontId="2" type="noConversion"/>
  </si>
  <si>
    <t>PA</t>
    <phoneticPr fontId="2" type="noConversion"/>
  </si>
  <si>
    <t>PXS</t>
    <phoneticPr fontId="2" type="noConversion"/>
  </si>
  <si>
    <t>PXC</t>
    <phoneticPr fontId="2" type="noConversion"/>
  </si>
  <si>
    <t>PXA</t>
    <phoneticPr fontId="2" type="noConversion"/>
  </si>
  <si>
    <t>PLS</t>
    <phoneticPr fontId="2" type="noConversion"/>
  </si>
  <si>
    <t>PLC</t>
    <phoneticPr fontId="2" type="noConversion"/>
  </si>
  <si>
    <t>PLA</t>
    <phoneticPr fontId="2" type="noConversion"/>
  </si>
  <si>
    <t>PRS</t>
    <phoneticPr fontId="2" type="noConversion"/>
  </si>
  <si>
    <t>PRC</t>
    <phoneticPr fontId="2" type="noConversion"/>
  </si>
  <si>
    <t>PRA</t>
    <phoneticPr fontId="2" type="noConversion"/>
  </si>
  <si>
    <t>enter</t>
    <phoneticPr fontId="2" type="noConversion"/>
  </si>
  <si>
    <t>winMax</t>
    <phoneticPr fontId="2" type="noConversion"/>
  </si>
  <si>
    <t>everything | excel</t>
    <phoneticPr fontId="2" type="noConversion"/>
  </si>
  <si>
    <t>weChat | word</t>
    <phoneticPr fontId="2" type="noConversion"/>
  </si>
  <si>
    <t>scite | spy | help</t>
    <phoneticPr fontId="2" type="noConversion"/>
  </si>
  <si>
    <t>eagle</t>
    <phoneticPr fontId="2" type="noConversion"/>
  </si>
  <si>
    <t>baiduNetdisk</t>
    <phoneticPr fontId="2" type="noConversion"/>
  </si>
  <si>
    <t>mailMaster</t>
    <phoneticPr fontId="2" type="noConversion"/>
  </si>
  <si>
    <t>save | save as</t>
    <phoneticPr fontId="2" type="noConversion"/>
  </si>
  <si>
    <t>copy | cut</t>
    <phoneticPr fontId="2" type="noConversion"/>
  </si>
  <si>
    <t>esc | winClose</t>
    <phoneticPr fontId="2" type="noConversion"/>
  </si>
  <si>
    <t>winMin | desktop</t>
    <phoneticPr fontId="2" type="noConversion"/>
  </si>
  <si>
    <t>AlignLeft</t>
    <phoneticPr fontId="2" type="noConversion"/>
  </si>
  <si>
    <t>ObjectsAlignLeftSmart</t>
    <phoneticPr fontId="2" type="noConversion"/>
  </si>
  <si>
    <t>ObjectsAlignLeft</t>
    <phoneticPr fontId="2" type="noConversion"/>
  </si>
  <si>
    <t>ObjectsAlignTop</t>
    <phoneticPr fontId="2" type="noConversion"/>
  </si>
  <si>
    <t>closeWindow</t>
    <phoneticPr fontId="2" type="noConversion"/>
  </si>
  <si>
    <t>AlignDistributeV</t>
    <phoneticPr fontId="2" type="noConversion"/>
  </si>
  <si>
    <t>AlignDistributeH</t>
    <phoneticPr fontId="2" type="noConversion"/>
  </si>
  <si>
    <t>AlignDistributeH-2</t>
    <phoneticPr fontId="2" type="noConversion"/>
  </si>
  <si>
    <t>screenshot</t>
    <phoneticPr fontId="2" type="noConversion"/>
  </si>
  <si>
    <t>ocr</t>
    <phoneticPr fontId="2" type="noConversion"/>
  </si>
  <si>
    <t>translateToTip/F16</t>
    <phoneticPr fontId="2" type="noConversion"/>
  </si>
  <si>
    <t>translateToNotepad/F14</t>
    <phoneticPr fontId="2" type="noConversion"/>
  </si>
  <si>
    <t>moveMonitor</t>
    <phoneticPr fontId="2" type="noConversion"/>
  </si>
  <si>
    <t>switchWindow</t>
    <phoneticPr fontId="2" type="noConversion"/>
  </si>
  <si>
    <t>MoveFilesIntoNewFolders</t>
    <phoneticPr fontId="2" type="noConversion"/>
  </si>
  <si>
    <t>eagleChangeFolderName</t>
    <phoneticPr fontId="2" type="noConversion"/>
  </si>
  <si>
    <t>MoveFilesIntoSameNameFolders</t>
    <phoneticPr fontId="2" type="noConversion"/>
  </si>
  <si>
    <t>keyFunc_ExportAsGIFinPPT</t>
    <phoneticPr fontId="2" type="noConversion"/>
  </si>
  <si>
    <t>d</t>
    <phoneticPr fontId="2" type="noConversion"/>
  </si>
  <si>
    <t>K</t>
    <phoneticPr fontId="2" type="noConversion"/>
  </si>
  <si>
    <t>O</t>
    <phoneticPr fontId="2" type="noConversion"/>
  </si>
  <si>
    <t>P</t>
    <phoneticPr fontId="2" type="noConversion"/>
  </si>
  <si>
    <t>expertPPTtoJPG</t>
    <phoneticPr fontId="2" type="noConversion"/>
  </si>
  <si>
    <t>splitPPT</t>
    <phoneticPr fontId="2" type="noConversion"/>
  </si>
  <si>
    <t>命令</t>
    <phoneticPr fontId="2" type="noConversion"/>
  </si>
  <si>
    <t>描述</t>
    <phoneticPr fontId="2" type="noConversion"/>
  </si>
  <si>
    <t>来源面板：显示文件注释</t>
  </si>
  <si>
    <t>来源面板：列表</t>
  </si>
  <si>
    <t>来源面板：详细信息</t>
  </si>
  <si>
    <t>来源面板：树状视图</t>
  </si>
  <si>
    <t>来源面板：快速查看</t>
  </si>
  <si>
    <t>来源面板：快速查看（不使用插件）</t>
  </si>
  <si>
    <t>来源面板：关闭快速查看</t>
  </si>
  <si>
    <t>来源面板：仅程序文件</t>
  </si>
  <si>
    <t>来源面板：所有文件</t>
  </si>
  <si>
    <t>来源面板：上次选择的文件类型</t>
  </si>
  <si>
    <t>来源面板：选择文件类型</t>
  </si>
  <si>
    <t>来源面板：按文件名排序</t>
  </si>
  <si>
    <t>来源面板：按扩展名排序</t>
  </si>
  <si>
    <t>来源面板：按大小排序</t>
  </si>
  <si>
    <t>来源面板：按时间排序</t>
  </si>
  <si>
    <t>来源面板：不排序</t>
  </si>
  <si>
    <t>来源面板：反向排序</t>
  </si>
  <si>
    <t>来源面板：打开驱动器列表</t>
  </si>
  <si>
    <t>来源面板：缩略图</t>
  </si>
  <si>
    <t>来源面板：显示自定义视图菜单</t>
  </si>
  <si>
    <t>来源面板：将焦点移到路径栏</t>
  </si>
  <si>
    <t>来源面板：显示视图模式菜单</t>
  </si>
  <si>
    <t>左侧面板：显示文件注释</t>
  </si>
  <si>
    <t>左侧面板：列表</t>
  </si>
  <si>
    <t>左侧面板：详细信息</t>
  </si>
  <si>
    <t>左侧面板：文件夹树</t>
  </si>
  <si>
    <t>左侧面板：快速查看</t>
  </si>
  <si>
    <t>左侧面板：快速查看（不使用插件）</t>
  </si>
  <si>
    <t>左侧面板：关闭快速查看</t>
  </si>
  <si>
    <t>左侧面板：仅程序文件</t>
  </si>
  <si>
    <t>左侧面板：所有文件</t>
  </si>
  <si>
    <t>左侧面板：最后选择的文件类型</t>
  </si>
  <si>
    <t>左侧面板：选择文件类型</t>
  </si>
  <si>
    <t>左侧面板：按文件名排序</t>
  </si>
  <si>
    <t>左侧面板：按扩展名排序</t>
  </si>
  <si>
    <t>左侧面板：按大小排序</t>
  </si>
  <si>
    <t>左侧面板：按时间排序</t>
  </si>
  <si>
    <t>左侧面板：不排序</t>
  </si>
  <si>
    <t>左侧面板：反向排序</t>
  </si>
  <si>
    <t>左侧面板：打开驱动器列表</t>
  </si>
  <si>
    <t>左侧面板：焦点移动到路径栏</t>
  </si>
  <si>
    <t>左侧面板：分支视图（展开所有文件夹）</t>
  </si>
  <si>
    <t>左侧面板：分支视图（仅展开选定文件夹）</t>
  </si>
  <si>
    <t>左侧面板：缩略图</t>
  </si>
  <si>
    <t>左侧面板：显示自定义视图菜单</t>
  </si>
  <si>
    <t>左侧面板：显示视图模式菜单</t>
  </si>
  <si>
    <t>右侧面板：显示文件注释</t>
  </si>
  <si>
    <t>右侧面板：列表</t>
  </si>
  <si>
    <t>右侧面板：详细信息</t>
  </si>
  <si>
    <t>右侧面板：文件夹树</t>
  </si>
  <si>
    <t>右侧面板：快速查看</t>
  </si>
  <si>
    <t>右侧面板：快速查看（不使用插件）</t>
  </si>
  <si>
    <t>右侧面板：关闭快速查看</t>
  </si>
  <si>
    <t>右侧面板：仅程序文件</t>
  </si>
  <si>
    <t>右侧面板：所有文件</t>
  </si>
  <si>
    <t>右侧面板：上次选择的文件类型</t>
  </si>
  <si>
    <t>右侧面板：选择文件类型</t>
  </si>
  <si>
    <t>右侧面板：按文件名排序</t>
  </si>
  <si>
    <t>右侧面板：按扩展名排序</t>
  </si>
  <si>
    <t>右侧面板：按大小排序</t>
  </si>
  <si>
    <t>右侧面板：按时间排序</t>
  </si>
  <si>
    <t>右侧面板：不排序</t>
  </si>
  <si>
    <t>右侧面板：反向排序</t>
  </si>
  <si>
    <t>右侧面板：打开驱动器列表</t>
  </si>
  <si>
    <t>右侧面板：将焦点移到路径栏</t>
  </si>
  <si>
    <t>右侧面板：分支视图（展开所有文件夹）</t>
  </si>
  <si>
    <t>右侧面板：分支视图（仅展开选定文件夹）</t>
  </si>
  <si>
    <t>右侧面板：缩略图</t>
  </si>
  <si>
    <t>右侧面板：显示自定义视图菜单</t>
  </si>
  <si>
    <t>右侧面板：显示视图模式菜单</t>
  </si>
  <si>
    <t>查看文件</t>
  </si>
  <si>
    <t>查看单个文件（不使用插件/多媒体）</t>
  </si>
  <si>
    <t>查看所选文件（不使用插件/多媒体）</t>
  </si>
  <si>
    <t>查看单个文件（使用插件/多媒体）</t>
  </si>
  <si>
    <t>查看所选文件（使用插件/多媒体）</t>
  </si>
  <si>
    <t>查看文件（使用外部查看程序）</t>
  </si>
  <si>
    <t>编辑文件</t>
  </si>
  <si>
    <t>新建文本文件</t>
  </si>
  <si>
    <t>显示新建上下文菜单</t>
  </si>
  <si>
    <t>cm_SrcComments</t>
    <phoneticPr fontId="2" type="noConversion"/>
  </si>
  <si>
    <t>cm_SrcShort</t>
    <phoneticPr fontId="2" type="noConversion"/>
  </si>
  <si>
    <t>cm_SrcLong</t>
    <phoneticPr fontId="2" type="noConversion"/>
  </si>
  <si>
    <t>cm_SrcTree</t>
    <phoneticPr fontId="2" type="noConversion"/>
  </si>
  <si>
    <t>cm_SrcQuickView</t>
    <phoneticPr fontId="2" type="noConversion"/>
  </si>
  <si>
    <t>cm_SrcQuickInternalOnly</t>
    <phoneticPr fontId="2" type="noConversion"/>
  </si>
  <si>
    <t>cm_SrcHideQuickView</t>
    <phoneticPr fontId="2" type="noConversion"/>
  </si>
  <si>
    <t>cm_SrcExecs</t>
    <phoneticPr fontId="2" type="noConversion"/>
  </si>
  <si>
    <t>cm_SrcAllFiles</t>
    <phoneticPr fontId="2" type="noConversion"/>
  </si>
  <si>
    <t>cm_SrcUserSpec</t>
    <phoneticPr fontId="2" type="noConversion"/>
  </si>
  <si>
    <t>cm_SrcUserDef</t>
    <phoneticPr fontId="2" type="noConversion"/>
  </si>
  <si>
    <t>cm_SrcByName</t>
    <phoneticPr fontId="2" type="noConversion"/>
  </si>
  <si>
    <t>cm_SrcByExt</t>
    <phoneticPr fontId="2" type="noConversion"/>
  </si>
  <si>
    <t>cm_SrcBySize</t>
    <phoneticPr fontId="2" type="noConversion"/>
  </si>
  <si>
    <t>cm_SrcByDateTime</t>
    <phoneticPr fontId="2" type="noConversion"/>
  </si>
  <si>
    <t>cm_SrcUnsorted</t>
    <phoneticPr fontId="2" type="noConversion"/>
  </si>
  <si>
    <t>cm_SrcNegOrder</t>
    <phoneticPr fontId="2" type="noConversion"/>
  </si>
  <si>
    <t>cm_SrcOpenDrives</t>
    <phoneticPr fontId="2" type="noConversion"/>
  </si>
  <si>
    <t>cm_SrcThumbs</t>
    <phoneticPr fontId="2" type="noConversion"/>
  </si>
  <si>
    <t>cm_SrcCustomViewMenu</t>
    <phoneticPr fontId="2" type="noConversion"/>
  </si>
  <si>
    <t>cm_SrcPathFocus</t>
    <phoneticPr fontId="2" type="noConversion"/>
  </si>
  <si>
    <t>cm_SrcViewModeList</t>
    <phoneticPr fontId="2" type="noConversion"/>
  </si>
  <si>
    <t>cm_LeftComments</t>
    <phoneticPr fontId="2" type="noConversion"/>
  </si>
  <si>
    <t>cm_LeftShort</t>
    <phoneticPr fontId="2" type="noConversion"/>
  </si>
  <si>
    <t>cm_LeftLong</t>
    <phoneticPr fontId="2" type="noConversion"/>
  </si>
  <si>
    <t>cm_LeftTree</t>
    <phoneticPr fontId="2" type="noConversion"/>
  </si>
  <si>
    <t>cm_LeftQuickView</t>
    <phoneticPr fontId="2" type="noConversion"/>
  </si>
  <si>
    <t>cm_LeftQuickInternalOnly</t>
    <phoneticPr fontId="2" type="noConversion"/>
  </si>
  <si>
    <t>cm_LeftHideQuickView</t>
    <phoneticPr fontId="2" type="noConversion"/>
  </si>
  <si>
    <t>cm_LeftExecs</t>
    <phoneticPr fontId="2" type="noConversion"/>
  </si>
  <si>
    <t>cm_LeftAllFiles</t>
    <phoneticPr fontId="2" type="noConversion"/>
  </si>
  <si>
    <t>cm_LeftUserSpec</t>
    <phoneticPr fontId="2" type="noConversion"/>
  </si>
  <si>
    <t>cm_LeftUserDef</t>
    <phoneticPr fontId="2" type="noConversion"/>
  </si>
  <si>
    <t>cm_LeftByName</t>
    <phoneticPr fontId="2" type="noConversion"/>
  </si>
  <si>
    <t>cm_LeftByExt</t>
    <phoneticPr fontId="2" type="noConversion"/>
  </si>
  <si>
    <t>cm_LeftBySize</t>
    <phoneticPr fontId="2" type="noConversion"/>
  </si>
  <si>
    <t>cm_LeftByDateTime</t>
    <phoneticPr fontId="2" type="noConversion"/>
  </si>
  <si>
    <t>cm_LeftUnsorted</t>
    <phoneticPr fontId="2" type="noConversion"/>
  </si>
  <si>
    <t>cm_LeftNegOrder</t>
    <phoneticPr fontId="2" type="noConversion"/>
  </si>
  <si>
    <t>cm_LeftOpenDrives</t>
    <phoneticPr fontId="2" type="noConversion"/>
  </si>
  <si>
    <t>cm_LeftPathFocus</t>
    <phoneticPr fontId="2" type="noConversion"/>
  </si>
  <si>
    <t>cm_LeftDirBranch</t>
    <phoneticPr fontId="2" type="noConversion"/>
  </si>
  <si>
    <t>cm_LeftDirBranchSel</t>
    <phoneticPr fontId="2" type="noConversion"/>
  </si>
  <si>
    <t>cm_LeftThumbs</t>
    <phoneticPr fontId="2" type="noConversion"/>
  </si>
  <si>
    <t>cm_LeftCustomViewMenu</t>
    <phoneticPr fontId="2" type="noConversion"/>
  </si>
  <si>
    <t>cm_LeftViewModeList</t>
    <phoneticPr fontId="2" type="noConversion"/>
  </si>
  <si>
    <t>cm_RightComments</t>
    <phoneticPr fontId="2" type="noConversion"/>
  </si>
  <si>
    <t>cm_RightShort</t>
    <phoneticPr fontId="2" type="noConversion"/>
  </si>
  <si>
    <t>cm_RightLong</t>
    <phoneticPr fontId="2" type="noConversion"/>
  </si>
  <si>
    <t>cm_RightTree</t>
    <phoneticPr fontId="2" type="noConversion"/>
  </si>
  <si>
    <t>cm_RightQuickView</t>
    <phoneticPr fontId="2" type="noConversion"/>
  </si>
  <si>
    <t>cm_RightQuickInternalOnly</t>
    <phoneticPr fontId="2" type="noConversion"/>
  </si>
  <si>
    <t>cm_RightHideQuickView</t>
    <phoneticPr fontId="2" type="noConversion"/>
  </si>
  <si>
    <t>cm_RightExecs</t>
    <phoneticPr fontId="2" type="noConversion"/>
  </si>
  <si>
    <t>cm_RightAllFiles</t>
    <phoneticPr fontId="2" type="noConversion"/>
  </si>
  <si>
    <t>cm_RightUserSpec</t>
    <phoneticPr fontId="2" type="noConversion"/>
  </si>
  <si>
    <t>cm_RightUserDef</t>
    <phoneticPr fontId="2" type="noConversion"/>
  </si>
  <si>
    <t>cm_RightByName</t>
    <phoneticPr fontId="2" type="noConversion"/>
  </si>
  <si>
    <t>cm_RightByExt</t>
    <phoneticPr fontId="2" type="noConversion"/>
  </si>
  <si>
    <t>cm_RightBySize</t>
    <phoneticPr fontId="2" type="noConversion"/>
  </si>
  <si>
    <t>cm_RightByDateTime</t>
    <phoneticPr fontId="2" type="noConversion"/>
  </si>
  <si>
    <t>cm_RightUnsorted</t>
    <phoneticPr fontId="2" type="noConversion"/>
  </si>
  <si>
    <t>cm_RightNegOrder</t>
    <phoneticPr fontId="2" type="noConversion"/>
  </si>
  <si>
    <t>cm_RightOpenDrives</t>
    <phoneticPr fontId="2" type="noConversion"/>
  </si>
  <si>
    <t>cm_RightPathFocus</t>
    <phoneticPr fontId="2" type="noConversion"/>
  </si>
  <si>
    <t>cm_RightDirBranch</t>
    <phoneticPr fontId="2" type="noConversion"/>
  </si>
  <si>
    <t>cm_RightDirBranchSel</t>
    <phoneticPr fontId="2" type="noConversion"/>
  </si>
  <si>
    <t>cm_RightThumbs</t>
    <phoneticPr fontId="2" type="noConversion"/>
  </si>
  <si>
    <t>cm_RightCustomViewMenu</t>
    <phoneticPr fontId="2" type="noConversion"/>
  </si>
  <si>
    <t>cm_RightViewModeList</t>
    <phoneticPr fontId="2" type="noConversion"/>
  </si>
  <si>
    <t>cm_List</t>
    <phoneticPr fontId="2" type="noConversion"/>
  </si>
  <si>
    <t>cm_ListInternalOnly</t>
    <phoneticPr fontId="2" type="noConversion"/>
  </si>
  <si>
    <t>cm_ListInternalMulti</t>
    <phoneticPr fontId="2" type="noConversion"/>
  </si>
  <si>
    <t>cm_ListOnly</t>
    <phoneticPr fontId="2" type="noConversion"/>
  </si>
  <si>
    <t>cm_ListMulti</t>
    <phoneticPr fontId="2" type="noConversion"/>
  </si>
  <si>
    <t>cm_ListExternal</t>
    <phoneticPr fontId="2" type="noConversion"/>
  </si>
  <si>
    <t>cm_Edit</t>
    <phoneticPr fontId="2" type="noConversion"/>
  </si>
  <si>
    <t>cm_EditNewFile</t>
    <phoneticPr fontId="2" type="noConversion"/>
  </si>
  <si>
    <t>cm_EditFileMenu</t>
    <phoneticPr fontId="2" type="noConversion"/>
  </si>
  <si>
    <t>tc</t>
    <phoneticPr fontId="2" type="noConversion"/>
  </si>
  <si>
    <t>V</t>
    <phoneticPr fontId="2" type="noConversion"/>
  </si>
  <si>
    <t>screenShotRButton</t>
    <phoneticPr fontId="2" type="noConversion"/>
  </si>
  <si>
    <t>keyFunc_RenamePPTFiles</t>
    <phoneticPr fontId="2" type="noConversion"/>
  </si>
  <si>
    <t xml:space="preserve"> </t>
    <phoneticPr fontId="2" type="noConversion"/>
  </si>
  <si>
    <t>superDelete</t>
    <phoneticPr fontId="2" type="noConversion"/>
  </si>
  <si>
    <t>superCopy</t>
    <phoneticPr fontId="2" type="noConversion"/>
  </si>
  <si>
    <t>my_function_name</t>
    <phoneticPr fontId="2" type="noConversion"/>
  </si>
  <si>
    <t>purpose</t>
    <phoneticPr fontId="2" type="noConversion"/>
  </si>
  <si>
    <t>category</t>
    <phoneticPr fontId="2" type="noConversion"/>
  </si>
  <si>
    <t xml:space="preserve"> System   </t>
  </si>
  <si>
    <t xml:space="preserve"> sys_shutdown                     </t>
  </si>
  <si>
    <t xml:space="preserve"> 关闭电脑                 </t>
  </si>
  <si>
    <t xml:space="preserve"> sys_restart                      </t>
  </si>
  <si>
    <t xml:space="preserve"> 重启电脑                 </t>
  </si>
  <si>
    <t xml:space="preserve"> sys_logout                       </t>
  </si>
  <si>
    <t xml:space="preserve"> 注销当前用户             </t>
  </si>
  <si>
    <t xml:space="preserve"> sys_lock_computer                </t>
  </si>
  <si>
    <t xml:space="preserve"> 锁定计算机               </t>
  </si>
  <si>
    <t xml:space="preserve"> sys_open_run_dialog              </t>
  </si>
  <si>
    <t xml:space="preserve"> 打开运行对话框           </t>
  </si>
  <si>
    <t xml:space="preserve"> sys_open_settings                </t>
  </si>
  <si>
    <t xml:space="preserve"> 打开设置                 </t>
  </si>
  <si>
    <t xml:space="preserve"> sys_open_quick_access_menu       </t>
  </si>
  <si>
    <t xml:space="preserve"> 打开快速访问菜单         </t>
  </si>
  <si>
    <t xml:space="preserve"> sys_switch_window                </t>
  </si>
  <si>
    <t xml:space="preserve"> 切换到前一个窗口         </t>
  </si>
  <si>
    <t xml:space="preserve"> sys_min_win                      </t>
  </si>
  <si>
    <t xml:space="preserve"> 最小化当前窗口           </t>
  </si>
  <si>
    <t xml:space="preserve"> sys_max_win                      </t>
  </si>
  <si>
    <t xml:space="preserve"> 最大化当前活动窗口       </t>
  </si>
  <si>
    <t xml:space="preserve"> sys_switch_monitor               </t>
  </si>
  <si>
    <t xml:space="preserve"> 切换显示器（向左）       </t>
  </si>
  <si>
    <t xml:space="preserve"> sys_restore_win                  </t>
  </si>
  <si>
    <t xml:space="preserve"> 恢复或最大化窗口         </t>
  </si>
  <si>
    <t xml:space="preserve"> sys_font_settings                </t>
  </si>
  <si>
    <t xml:space="preserve"> 打开字体设置             </t>
  </si>
  <si>
    <t xml:space="preserve"> sys_network_settings             </t>
  </si>
  <si>
    <t xml:space="preserve"> 打开网络设置             </t>
  </si>
  <si>
    <t xml:space="preserve"> sys_bluetooth_devices            </t>
  </si>
  <si>
    <t xml:space="preserve"> 打开蓝牙设备设置         </t>
  </si>
  <si>
    <t xml:space="preserve"> sys_personalization_settings     </t>
  </si>
  <si>
    <t xml:space="preserve"> 打开个性化背景设置       </t>
  </si>
  <si>
    <t xml:space="preserve"> sys_apps_and_features            </t>
  </si>
  <si>
    <t xml:space="preserve"> 打开应用和功能设置       </t>
  </si>
  <si>
    <t xml:space="preserve"> sys_privacy_settings             </t>
  </si>
  <si>
    <t xml:space="preserve"> 打开隐私设置             </t>
  </si>
  <si>
    <t xml:space="preserve"> sys_update_settings              </t>
  </si>
  <si>
    <t xml:space="preserve"> 打开Windows更新设置     </t>
  </si>
  <si>
    <t xml:space="preserve"> sys_display_settings             </t>
  </si>
  <si>
    <t xml:space="preserve"> 打开显示设置             </t>
  </si>
  <si>
    <t xml:space="preserve"> sys_sound_settings               </t>
  </si>
  <si>
    <t xml:space="preserve"> 打开声音设置             </t>
  </si>
  <si>
    <t xml:space="preserve"> sys_time_and_language            </t>
  </si>
  <si>
    <t xml:space="preserve"> 打开时间和语言设置       </t>
  </si>
  <si>
    <t xml:space="preserve"> sys_gaming_settings              </t>
  </si>
  <si>
    <t xml:space="preserve"> 打开游戏设置             </t>
  </si>
  <si>
    <t xml:space="preserve"> sys_ease_of_access               </t>
  </si>
  <si>
    <t xml:space="preserve"> 打开辅助功能设置         </t>
  </si>
  <si>
    <t xml:space="preserve"> sys_device_manager               </t>
  </si>
  <si>
    <t xml:space="preserve"> 打开设备管理器           </t>
  </si>
  <si>
    <t xml:space="preserve"> sys_recycle_bin                  </t>
  </si>
  <si>
    <t xml:space="preserve"> 打开回收站               </t>
  </si>
  <si>
    <t xml:space="preserve"> sys_disk_management              </t>
  </si>
  <si>
    <t xml:space="preserve"> 打开磁盘管理             </t>
  </si>
  <si>
    <t xml:space="preserve"> sys_computer_management          </t>
  </si>
  <si>
    <t xml:space="preserve"> 打开计算机管理           </t>
  </si>
  <si>
    <t xml:space="preserve"> sys_wifi_settings                </t>
  </si>
  <si>
    <t xml:space="preserve"> 打开WiFi设置             </t>
  </si>
  <si>
    <t xml:space="preserve"> sys_show_desktop                 </t>
  </si>
  <si>
    <t xml:space="preserve"> 显示桌面                 </t>
  </si>
  <si>
    <t xml:space="preserve"> sys_open_explorer                </t>
  </si>
  <si>
    <t xml:space="preserve"> 打开资源管理器           </t>
  </si>
  <si>
    <t xml:space="preserve"> sys_activate_taskbar_app         </t>
  </si>
  <si>
    <t xml:space="preserve"> 激活任务栏中的应用       </t>
  </si>
  <si>
    <t xml:space="preserve"> sys_switch_input_method          </t>
  </si>
  <si>
    <t xml:space="preserve"> 切换输入法               </t>
  </si>
  <si>
    <t xml:space="preserve"> sys_open_search                  </t>
  </si>
  <si>
    <t xml:space="preserve"> 打开搜索                 </t>
  </si>
  <si>
    <t xml:space="preserve"> sys_open_action_center           </t>
  </si>
  <si>
    <t xml:space="preserve"> 打开操作中心             </t>
  </si>
  <si>
    <t xml:space="preserve"> sys_open_task_view               </t>
  </si>
  <si>
    <t xml:space="preserve"> 打开任务视图             </t>
  </si>
  <si>
    <t xml:space="preserve"> sys_switch_desktop_left          </t>
  </si>
  <si>
    <t xml:space="preserve"> 向左切换桌面             </t>
  </si>
  <si>
    <t xml:space="preserve"> sys_switch_desktop_right         </t>
  </si>
  <si>
    <t xml:space="preserve"> 向右切换桌面             </t>
  </si>
  <si>
    <t xml:space="preserve"> sys_win_screenshot               </t>
  </si>
  <si>
    <t xml:space="preserve"> 截取Windows屏幕截图      </t>
  </si>
  <si>
    <t xml:space="preserve"> sys_open_widgets                 </t>
  </si>
  <si>
    <t xml:space="preserve"> 打开小部件               </t>
  </si>
  <si>
    <t xml:space="preserve"> sys_open_desktops                </t>
  </si>
  <si>
    <t xml:space="preserve"> 打开虚拟桌面             </t>
  </si>
  <si>
    <t xml:space="preserve"> sys_projection_settings          </t>
  </si>
  <si>
    <t xml:space="preserve"> 打开投影设置             </t>
  </si>
  <si>
    <t xml:space="preserve"> sys_open_notification_and_calendar</t>
  </si>
  <si>
    <t xml:space="preserve"> 打开通知和日历           </t>
  </si>
  <si>
    <t xml:space="preserve"> sys_window_alignment             </t>
  </si>
  <si>
    <t xml:space="preserve"> 窗口对齐                 </t>
  </si>
  <si>
    <t xml:space="preserve"> sys_maximize_window              </t>
  </si>
  <si>
    <t xml:space="preserve"> 最大化窗口               </t>
  </si>
  <si>
    <t xml:space="preserve"> sys_restore_or_minimize_window   </t>
  </si>
  <si>
    <t xml:space="preserve"> 恢复或最小化窗口         </t>
  </si>
  <si>
    <t xml:space="preserve"> sys_snap_window_left             </t>
  </si>
  <si>
    <t xml:space="preserve"> 窗口左对齐               </t>
  </si>
  <si>
    <t xml:space="preserve"> sys_snap_window_right            </t>
  </si>
  <si>
    <t xml:space="preserve"> 窗口右对齐               </t>
  </si>
  <si>
    <t xml:space="preserve"> sys_open_startup_folder          </t>
  </si>
  <si>
    <t xml:space="preserve"> 打开启动文件夹           </t>
  </si>
  <si>
    <t>q</t>
    <phoneticPr fontId="2" type="noConversion"/>
  </si>
  <si>
    <t>s</t>
    <phoneticPr fontId="2" type="noConversion"/>
  </si>
  <si>
    <t>h</t>
    <phoneticPr fontId="2" type="noConversion"/>
  </si>
  <si>
    <t>z</t>
    <phoneticPr fontId="2" type="noConversion"/>
  </si>
  <si>
    <t>x</t>
    <phoneticPr fontId="2" type="noConversion"/>
  </si>
  <si>
    <t>c</t>
    <phoneticPr fontId="2" type="noConversion"/>
  </si>
  <si>
    <t>n</t>
    <phoneticPr fontId="2" type="noConversion"/>
  </si>
  <si>
    <t>m</t>
    <phoneticPr fontId="2" type="noConversion"/>
  </si>
  <si>
    <t>super</t>
    <phoneticPr fontId="2" type="noConversion"/>
  </si>
  <si>
    <t>LButton</t>
  </si>
  <si>
    <t>space</t>
    <phoneticPr fontId="2" type="noConversion"/>
  </si>
  <si>
    <t>p</t>
    <phoneticPr fontId="2" type="noConversion"/>
  </si>
  <si>
    <t>ppt_super</t>
    <phoneticPr fontId="2" type="noConversion"/>
  </si>
  <si>
    <t>ppt_a</t>
    <phoneticPr fontId="2" type="noConversion"/>
  </si>
  <si>
    <t>ppt_LButton</t>
    <phoneticPr fontId="2" type="noConversion"/>
  </si>
  <si>
    <t>k</t>
    <phoneticPr fontId="2" type="noConversion"/>
  </si>
  <si>
    <t>delete</t>
    <phoneticPr fontId="2" type="noConversion"/>
  </si>
  <si>
    <t>save&gt;save_as</t>
    <phoneticPr fontId="2" type="noConversion"/>
  </si>
  <si>
    <t>copy&gt;cut</t>
    <phoneticPr fontId="2" type="noConversion"/>
  </si>
  <si>
    <t>paste</t>
    <phoneticPr fontId="2" type="noConversion"/>
  </si>
  <si>
    <t>brackets</t>
    <phoneticPr fontId="2" type="noConversion"/>
  </si>
  <si>
    <t>hash_symbol</t>
  </si>
  <si>
    <t>brackets&gt;single_quote</t>
    <phoneticPr fontId="2" type="noConversion"/>
  </si>
  <si>
    <t>ent</t>
    <phoneticPr fontId="2" type="noConversion"/>
  </si>
  <si>
    <t>shift_f10</t>
    <phoneticPr fontId="2" type="noConversion"/>
  </si>
  <si>
    <t>j</t>
    <phoneticPr fontId="2" type="noConversion"/>
  </si>
  <si>
    <t>^q:: Send('^/')</t>
    <phoneticPr fontId="2" type="noConversion"/>
  </si>
  <si>
    <t>^r:: funcX('shift_f10')</t>
    <phoneticPr fontId="2" type="noConversion"/>
  </si>
  <si>
    <t>ctrl_alt_s: setting</t>
    <phoneticPr fontId="2" type="noConversion"/>
  </si>
  <si>
    <t>ctrl_d: duplicate line</t>
    <phoneticPr fontId="2" type="noConversion"/>
  </si>
  <si>
    <t>shift_alt_up/down: move line</t>
    <phoneticPr fontId="2" type="noConversion"/>
  </si>
  <si>
    <t>u</t>
    <phoneticPr fontId="2" type="noConversion"/>
  </si>
  <si>
    <t>i</t>
    <phoneticPr fontId="2" type="noConversion"/>
  </si>
  <si>
    <t>o</t>
    <phoneticPr fontId="2" type="noConversion"/>
  </si>
  <si>
    <t>p</t>
    <phoneticPr fontId="2" type="noConversion"/>
  </si>
  <si>
    <t>l</t>
    <phoneticPr fontId="2" type="noConversion"/>
  </si>
  <si>
    <t>"</t>
    <phoneticPr fontId="2" type="noConversion"/>
  </si>
  <si>
    <t>%</t>
    <phoneticPr fontId="2" type="noConversion"/>
  </si>
  <si>
    <t>单引号/双引号/三引号</t>
    <phoneticPr fontId="2" type="noConversion"/>
  </si>
  <si>
    <t>逗号</t>
    <phoneticPr fontId="2" type="noConversion"/>
  </si>
  <si>
    <t>加号</t>
    <phoneticPr fontId="2" type="noConversion"/>
  </si>
  <si>
    <t>减号/下划线</t>
    <phoneticPr fontId="2" type="noConversion"/>
  </si>
  <si>
    <t>backspace</t>
    <phoneticPr fontId="2" type="noConversion"/>
  </si>
  <si>
    <t>下划线</t>
    <phoneticPr fontId="2" type="noConversion"/>
  </si>
  <si>
    <t>shift_enter</t>
    <phoneticPr fontId="2" type="noConversion"/>
  </si>
  <si>
    <t>up</t>
    <phoneticPr fontId="2" type="noConversion"/>
  </si>
  <si>
    <t>pycharm_ctrl_space</t>
    <phoneticPr fontId="2" type="noConversion"/>
  </si>
  <si>
    <t>注释</t>
    <phoneticPr fontId="2" type="noConversion"/>
  </si>
  <si>
    <t xml:space="preserve"> </t>
    <phoneticPr fontId="2" type="noConversion"/>
  </si>
  <si>
    <t>semicolon</t>
    <phoneticPr fontId="2" type="noConversion"/>
  </si>
  <si>
    <t>ctrl_shift</t>
    <phoneticPr fontId="2" type="noConversion"/>
  </si>
  <si>
    <t>等于</t>
    <phoneticPr fontId="2" type="noConversion"/>
  </si>
  <si>
    <t>delete</t>
    <phoneticPr fontId="2" type="noConversion"/>
  </si>
  <si>
    <t>加减</t>
    <phoneticPr fontId="2" type="noConversion"/>
  </si>
  <si>
    <t>小括号、中括号</t>
    <phoneticPr fontId="2" type="noConversion"/>
  </si>
  <si>
    <t>逗号/点</t>
    <phoneticPr fontId="2" type="noConversion"/>
  </si>
  <si>
    <t>'''''''''''&gt;&lt;</t>
    <phoneticPr fontId="2" type="noConversion"/>
  </si>
  <si>
    <t>&gt;</t>
    <phoneticPr fontId="2" type="noConversion"/>
  </si>
  <si>
    <t>aaaaa-+-++---  --------=&gt;&gt;&gt;&gt;&lt;[[[(&gt;[[[[([[[[(.,.,ccccc'cccc….,=…,</t>
    <phoneticPr fontId="2" type="noConversion"/>
  </si>
  <si>
    <t>n</t>
    <phoneticPr fontId="2" type="noConversion"/>
  </si>
  <si>
    <t>ditto</t>
    <phoneticPr fontId="2" type="noConversion"/>
  </si>
  <si>
    <t>LButton</t>
    <phoneticPr fontId="2" type="noConversion"/>
  </si>
  <si>
    <t>RButton</t>
    <phoneticPr fontId="2" type="noConversion"/>
  </si>
  <si>
    <t>XButton1</t>
    <phoneticPr fontId="2" type="noConversion"/>
  </si>
  <si>
    <t>XButton2</t>
    <phoneticPr fontId="2" type="noConversion"/>
  </si>
  <si>
    <t>Space</t>
    <phoneticPr fontId="2" type="noConversion"/>
  </si>
  <si>
    <t>wechat</t>
    <phoneticPr fontId="2" type="noConversion"/>
  </si>
  <si>
    <t>CLSID</t>
  </si>
  <si>
    <t>Location</t>
  </si>
  <si>
    <t>Availability</t>
  </si>
  <si>
    <t>::{00020D75-0000-0000-C000-000000000046}</t>
  </si>
  <si>
    <t>Inbox (Outlook)</t>
  </si>
  <si>
    <t>XP-11</t>
  </si>
  <si>
    <t>::{00028B00-0000-0000-C000-000000000046}</t>
  </si>
  <si>
    <t>Microsoft Network</t>
  </si>
  <si>
    <t>XP</t>
  </si>
  <si>
    <t>::{00C6D95F-329C-409A-81D7-C46C66EA7F33}</t>
  </si>
  <si>
    <t>Default Location</t>
  </si>
  <si>
    <t>::{0142E4D0-FB7A-11DC-BA4A-000FFE7AB428}</t>
  </si>
  <si>
    <t>Biometric Devices</t>
  </si>
  <si>
    <t>::{018D5C66-4533-4307-9B53-224DE2ED1FE6}</t>
  </si>
  <si>
    <t>OneDrive</t>
  </si>
  <si>
    <t>::{025A5937-A6BE-4686-A844-36FE4BEC8B6D}</t>
  </si>
  <si>
    <t>Power Options</t>
  </si>
  <si>
    <t>Vista-11</t>
  </si>
  <si>
    <t>::{031E4825-7B94-4DC3-B131-E946B44C8DD5}</t>
  </si>
  <si>
    <t>Libraries</t>
  </si>
  <si>
    <t>::{04731B67-D933-450A-90E6-4ACD2E9408FE}</t>
  </si>
  <si>
    <t>Desktop in Favorites</t>
  </si>
  <si>
    <t>::{05D7B0F4-2121-4EFF-BF6B-ED3F69B894D9}</t>
  </si>
  <si>
    <t>Notification Area Icons (append \SystemIcons for System Icons)</t>
  </si>
  <si>
    <t>::{088E3905-0323-4B02-9826-5D99428E115F}</t>
  </si>
  <si>
    <t>Downloads</t>
  </si>
  <si>
    <t>::{0907616E-F5E6-48D8-9D61-A91C3D28106D}</t>
  </si>
  <si>
    <t>Hyper-V Remote File Browsing</t>
  </si>
  <si>
    <t>::{0DB7E03F-FC29-4DC6-9020-FF41B59E513A}</t>
  </si>
  <si>
    <t>3D Objects</t>
  </si>
  <si>
    <t>::{0DF44EAA-FF21-4412-828E-260A8728E7F1}</t>
  </si>
  <si>
    <t>Taskbar Settings</t>
  </si>
  <si>
    <t>::{1206F5F1-0569-412C-8FEC-3204630DFB70}</t>
  </si>
  <si>
    <t>Credential Manager</t>
  </si>
  <si>
    <t>::{15EAE92E-F17A-4431-9F28-805E482DAFD4}</t>
  </si>
  <si>
    <t>Get Programs</t>
  </si>
  <si>
    <t>::{17CD9488-1228-4B2F-88CE-4298E93E0966}</t>
  </si>
  <si>
    <t>Default Programs</t>
  </si>
  <si>
    <t>Default Apps</t>
  </si>
  <si>
    <t>::{1CF1260C-4DD0-4EBB-811F-33C572699FDE}</t>
  </si>
  <si>
    <t>Music</t>
  </si>
  <si>
    <t>::{1F3427C8-5C10-4210-AA03-2EE45287D668}</t>
  </si>
  <si>
    <t>User Pinned</t>
  </si>
  <si>
    <t>::{1F4DE370-D627-11D1-BA4F-00A0C91EEDBA}</t>
  </si>
  <si>
    <t>Network Computers</t>
  </si>
  <si>
    <t>::{1FA9085F-25A2-489B-85D4-86326EEDCD87}</t>
  </si>
  <si>
    <t>Manage Wireless Networks</t>
  </si>
  <si>
    <t>Vista-7</t>
  </si>
  <si>
    <t>::{208D2C60-3AEA-1069-A2D7-08002B30309D}</t>
  </si>
  <si>
    <t>My Network Places</t>
  </si>
  <si>
    <t>::{20D04FE0-3AEA-1069-A2D8-08002B30309D}</t>
  </si>
  <si>
    <t>我的电脑</t>
  </si>
  <si>
    <t>计算机</t>
  </si>
  <si>
    <t>此电脑</t>
  </si>
  <si>
    <t>::{21EC2020-3AEA-1069-A2DD-08002B30309D}</t>
  </si>
  <si>
    <t>控制面板</t>
  </si>
  <si>
    <t>All Control Panel Items</t>
  </si>
  <si>
    <t>::{2227A280-3AEA-1069-A2DE-08002B30309D}</t>
  </si>
  <si>
    <t>Printers and Faxes</t>
  </si>
  <si>
    <t>::{22877A6D-37A1-461A-91B0-DBDA5AAEBC99}</t>
  </si>
  <si>
    <t>Recent Places</t>
  </si>
  <si>
    <t>Recent Folders</t>
  </si>
  <si>
    <t>::{241D7C96-F8BF-4F85-B01F-E2B043341A4B}</t>
  </si>
  <si>
    <t>RemoteApp and Desktop Connections</t>
  </si>
  <si>
    <t>::{24AD3AD4-A569-4530-98E1-AB02F9417AA8}</t>
  </si>
  <si>
    <t>Pictures</t>
  </si>
  <si>
    <t>::{2559A1F0-21D7-11D4-BDAF-00C04F60B9F0}</t>
  </si>
  <si>
    <t>Search</t>
  </si>
  <si>
    <t>XP-10</t>
  </si>
  <si>
    <t>::{2559A1F3-21D7-11D4-BDAF-00C04F60B9F0}</t>
  </si>
  <si>
    <t>Run</t>
  </si>
  <si>
    <t>::{2559A1F5-21D7-11D4-BDAF-00C04F60B9F0}</t>
  </si>
  <si>
    <t>E-mail</t>
  </si>
  <si>
    <t>::{2559A1F7-21D7-11D4-BDAF-00C04F60B9F0}</t>
  </si>
  <si>
    <t>Set Program Access and Defaults</t>
  </si>
  <si>
    <t>::{2559A1F8-21D7-11D4-BDAF-00C04F60B9F0}</t>
  </si>
  <si>
    <t>Search (Modern)</t>
  </si>
  <si>
    <t>::{26EE0668-A00A-44D7-9371-BEB064C98683}</t>
  </si>
  <si>
    <t>Control Panel (Category view)</t>
  </si>
  <si>
    <t>::{28803F59-3A75-4058-995F-4EE5503B023C}</t>
  </si>
  <si>
    <t>Bluetooth Devices</t>
  </si>
  <si>
    <t>::{289AF617-1CC3-42A6-926C-E6A863F0E3BA}</t>
  </si>
  <si>
    <t>Media Servers</t>
  </si>
  <si>
    <t>::{2965E715-EB66-4719-B53F-1672673BBEFA}</t>
  </si>
  <si>
    <t>Results Folder</t>
  </si>
  <si>
    <t>::{2E9E59C0-B437-4981-A647-9C34B9B90891}</t>
  </si>
  <si>
    <t>Sync Setup Folder</t>
  </si>
  <si>
    <t>::{3080F90D-D7AD-11D9-BD98-0000947B0257}</t>
  </si>
  <si>
    <t>Show Desktop</t>
  </si>
  <si>
    <t>::{3080F90E-D7AD-11D9-BD98-0000947B0257}</t>
  </si>
  <si>
    <t>Window Switcher</t>
  </si>
  <si>
    <t>::{323CA680-C24D-4099-B94D-446DD2D7249E}</t>
  </si>
  <si>
    <t>Favorites</t>
  </si>
  <si>
    <t>::{35786D3C-B075-49B9-88DD-029876E11C01}</t>
  </si>
  <si>
    <t>Portable Devices</t>
  </si>
  <si>
    <t>::{36EEF7DB-88AD-4E81-AD49-0E313F0C35F8}</t>
  </si>
  <si>
    <t>Windows Update</t>
  </si>
  <si>
    <t>Vista-8</t>
  </si>
  <si>
    <t>::{374DE290-123F-4565-9164-39C4925E467B}</t>
  </si>
  <si>
    <t>::{37EFD44D-EF8D-41B1-940D-96973A50E9E0}</t>
  </si>
  <si>
    <t>Windows Sidebar Properties</t>
  </si>
  <si>
    <t>Desktop Gadgets</t>
  </si>
  <si>
    <t>::{38A98528-6CBF-4CA9-8DC0-B1E1D10F7B1B}</t>
  </si>
  <si>
    <t>Connected To</t>
  </si>
  <si>
    <t>::{3936E9E4-D92C-4EEE-A85A-BC16D5EA0819}</t>
  </si>
  <si>
    <t>Frequent Folders</t>
  </si>
  <si>
    <t>::{3ADD1653-EB32-4CB0-BBD7-DFA0ABB5ACCA}</t>
  </si>
  <si>
    <t>::{3DFDF296-DBEC-4FB4-81D1-6A3438BCF4DE}</t>
  </si>
  <si>
    <t>::{3F6BC534-DFA1-4AB4-AE54-EF25A74E0107}</t>
  </si>
  <si>
    <t>System Restore</t>
  </si>
  <si>
    <t>Vista-10</t>
  </si>
  <si>
    <t>::{4026492F-2F69-46B8-B9BF-5654FC07E423}</t>
  </si>
  <si>
    <t>Windows Firewall</t>
  </si>
  <si>
    <t>::{40419485-C444-4567-851A-2DD7BFA1684D}</t>
  </si>
  <si>
    <t>Phone and Modem</t>
  </si>
  <si>
    <t>::{4234D49B-0245-4DF3-B780-3893943456E1}</t>
  </si>
  <si>
    <t>Applications</t>
  </si>
  <si>
    <t>::{4336A54D-038B-4685-AB02-99BB52D3FB8B}</t>
  </si>
  <si>
    <t>Public Folder</t>
  </si>
  <si>
    <t>::{437FF9C0-A07F-4FA0-AF80-84B6C6440A16}</t>
  </si>
  <si>
    <t>Command Folder</t>
  </si>
  <si>
    <t>::{450D8FBA-AD25-11D0-98A8-0800361B1103}</t>
  </si>
  <si>
    <t>My Documents</t>
  </si>
  <si>
    <t>::{48E7CAAB-B918-4E58-A94D-505519C795DC}</t>
  </si>
  <si>
    <t>Start Menu Folder</t>
  </si>
  <si>
    <t>XP-Vista</t>
  </si>
  <si>
    <t>::{5224F545-A443-4859-BA23-7B5A95BDC8EF}</t>
  </si>
  <si>
    <t>People Near Me</t>
  </si>
  <si>
    <t>::{5399E694-6CE5-4D6C-8FCE-1D8870FDCBA0}</t>
  </si>
  <si>
    <t>Control Panel</t>
  </si>
  <si>
    <t>::{58E3C745-D971-4081-9034-86E34B30836A}</t>
  </si>
  <si>
    <t>Speech Recognition</t>
  </si>
  <si>
    <t>::{59031A47-3F72-44A7-89C5-5595FE6B30EE}</t>
  </si>
  <si>
    <t>User Folder</t>
  </si>
  <si>
    <t>::{5EA4F148-308C-46D7-98A9-49041B1DD468}</t>
  </si>
  <si>
    <t>Mobility Center</t>
  </si>
  <si>
    <t>::{60632754-C523-4B62-B45C-4172DA012619}</t>
  </si>
  <si>
    <t>User Accounts</t>
  </si>
  <si>
    <t>::{62D8ED13-C9D0-4CE8-A914-47DD628FB1B0}</t>
  </si>
  <si>
    <t>Region and Language</t>
  </si>
  <si>
    <t>Recycle Bin</t>
  </si>
  <si>
    <t>::{67718415-C450-4F3C-BF8A-B487642DC39B}</t>
  </si>
  <si>
    <t>Windows Features</t>
  </si>
  <si>
    <t>::{679F85CB-0220-4080-B29B-5540CC05AAB6}</t>
  </si>
  <si>
    <t>Quick access</t>
  </si>
  <si>
    <t>::{67CA7650-96E6-4FDD-BB43-A8E774F73A57}</t>
  </si>
  <si>
    <t>HomeGroup</t>
  </si>
  <si>
    <t>::{6C8EEC18-8D75-41B2-A177-8831D59D2D50}</t>
  </si>
  <si>
    <t>Mouse Properties</t>
  </si>
  <si>
    <t>::{6DFD7C5C-2451-11D3-A299-00C04F8EF6AF}</t>
  </si>
  <si>
    <t>Folder Options</t>
  </si>
  <si>
    <t>::{7007ACC7-3202-11D1-AAD2-00805FC1270E}</t>
  </si>
  <si>
    <t>Network Connections</t>
  </si>
  <si>
    <t>::{725BE8F7-668E-4C7B-8F90-46BDB0936430}</t>
  </si>
  <si>
    <t>Keyboard Properties</t>
  </si>
  <si>
    <t>::{74246BFC-4C96-11D0-ABEF-0020AF6B0B7A}</t>
  </si>
  <si>
    <t>Device Manager</t>
  </si>
  <si>
    <t>::{78CB147A-98EA-4AA6-B0DF-C8681F69341C}</t>
  </si>
  <si>
    <t>Windows Cardspace</t>
  </si>
  <si>
    <t>::{78F3955E-3B90-4184-BD14-5397C15F1EFC}</t>
  </si>
  <si>
    <t>Performance Information and Tools</t>
  </si>
  <si>
    <t>::{7A9D77BD-5403-11D2-8785-2E0420524153}</t>
  </si>
  <si>
    <t>User Accounts (netplwiz)</t>
  </si>
  <si>
    <t>::{7B81BE6A-CE2B-4676-A29E-EB907A5126C5}</t>
  </si>
  <si>
    <t>Programs and Features</t>
  </si>
  <si>
    <t>::{7BD29E00-76C1-11CF-9DD0-00A0C9034933}</t>
  </si>
  <si>
    <t>Temporary Internet Files</t>
  </si>
  <si>
    <t>::{7BE9D83C-A729-4D97-B5A7-1B7313C39E0A}</t>
  </si>
  <si>
    <t>Programs Folder</t>
  </si>
  <si>
    <t>XP-8</t>
  </si>
  <si>
    <t>::{80F3F1D5-FECA-45F3-BC32-752C152E456E}</t>
  </si>
  <si>
    <t>Tablet PC Settings</t>
  </si>
  <si>
    <t>::{85BBD920-42A0-1069-A2E4-08002B30309D}</t>
  </si>
  <si>
    <t>Briefcase</t>
  </si>
  <si>
    <t>::{863AA9FD-42DF-457B-8E4D-0DE1B8015C60}</t>
  </si>
  <si>
    <t>Printers</t>
  </si>
  <si>
    <t>::{871C5380-42A0-1069-A2EA-08002B30309D}</t>
  </si>
  <si>
    <t>Internet Explorer</t>
  </si>
  <si>
    <t>::{87D66A43-7B11-4A28-9811-C86EE395ACF7}</t>
  </si>
  <si>
    <t>Indexing Options</t>
  </si>
  <si>
    <t>::{8E908FC9-BECC-40F6-915B-F4CA0E70D03D}</t>
  </si>
  <si>
    <t>Network and Sharing Center</t>
  </si>
  <si>
    <t>::{93412589-74D4-4E4E-AD0E-E0CB621440FD}</t>
  </si>
  <si>
    <t>Font Settings</t>
  </si>
  <si>
    <t>::{9343812E-1C37-4A49-A12E-4B2D810D956B}</t>
  </si>
  <si>
    <t>Search Results</t>
  </si>
  <si>
    <t>::{96AE8D84-A250-4520-95A5-A47A7E3C548B}</t>
  </si>
  <si>
    <t>Parental Controls</t>
  </si>
  <si>
    <t>::{992CFFA0-F557-101A-88EC-00DD010CCC48}</t>
  </si>
  <si>
    <t>::{9C60DE1E-E5FC-40F4-A487-460851A8D915}</t>
  </si>
  <si>
    <t>AutoPlay</t>
  </si>
  <si>
    <t>::{9C73F5E5-7AE7-4E32-A8E8-8D23B85255BF}</t>
  </si>
  <si>
    <t>Sync Center</t>
  </si>
  <si>
    <t>::{9FE63AFD-59CF-4419-9775-ABCC3849F861}</t>
  </si>
  <si>
    <t>Recovery</t>
  </si>
  <si>
    <t>::{A0275511-0E86-4ECA-97C2-ECD8F1221D08}</t>
  </si>
  <si>
    <t>Infrared</t>
  </si>
  <si>
    <t>::{A0953C92-50DC-43BF-BE83-3742FED03C9C}</t>
  </si>
  <si>
    <t>Videos</t>
  </si>
  <si>
    <t>::{A304259D-52B8-4526-8B1A-A1D6CECC8243}</t>
  </si>
  <si>
    <t>iSCCI Initiator</t>
  </si>
  <si>
    <t>::{A3DD4F92-658A-410F-84FD-6FBBBEF2FFFE}</t>
  </si>
  <si>
    <t>Internet Options</t>
  </si>
  <si>
    <t>::{A6482830-08EB-41E2-84C1-73920C2BADB9}</t>
  </si>
  <si>
    <t>Removable Storage Devices</t>
  </si>
  <si>
    <t>::{A8A91A66-3A7D-4424-8D24-04E180695C7A}</t>
  </si>
  <si>
    <t>Devices and Printers</t>
  </si>
  <si>
    <t>::{A8CDFF1C-4878-43BE-B5FD-F8091C1C60D0}</t>
  </si>
  <si>
    <t>Documents</t>
  </si>
  <si>
    <t>::{AFDB1F70-2A4C-11D2-9039-00C04F8EEB3E}</t>
  </si>
  <si>
    <t>Offline Files Folder</t>
  </si>
  <si>
    <t>::{B155BDF8-02F0-451E-9A26-AE317CFD7779}</t>
  </si>
  <si>
    <t>delegate folder that appears in Computer</t>
  </si>
  <si>
    <t>::{B2C761C6-29BC-4F19-9251-E6195265BAF1}</t>
  </si>
  <si>
    <t>Color Management</t>
  </si>
  <si>
    <t>::{B4BFCC3A-DB2C-424C-B029-7FE99A87C641}</t>
  </si>
  <si>
    <t>Desktop</t>
  </si>
  <si>
    <t>::{B4FB3F98-C1EA-428D-A78A-D1F5659CBA93}</t>
  </si>
  <si>
    <t>Other Users Folder</t>
  </si>
  <si>
    <t>Media Streaming Options</t>
  </si>
  <si>
    <t>::{B98A2BEA-7D42-4558-8BD1-832F41BAC6FD}</t>
  </si>
  <si>
    <t>Backup and Restore</t>
  </si>
  <si>
    <t>::{BB06C0E4-D293-4F75-8A90-CB05B6477EEE}</t>
  </si>
  <si>
    <t>::{BB64F8A7-BEE7-4E1A-AB8D-7D8273F7FDB6}</t>
  </si>
  <si>
    <t>Action Center</t>
  </si>
  <si>
    <t>Security and Maintenance</t>
  </si>
  <si>
    <t>(append \pageSettings for Problem Reporting Settings)</t>
  </si>
  <si>
    <t>::{BD84B380-8CA2-1069-AB1D-08000948F534}</t>
  </si>
  <si>
    <t>Fonts</t>
  </si>
  <si>
    <t>::{BDEADF00-C265-11D0-BCED-00A0C90AB50F}</t>
  </si>
  <si>
    <t>Web Folders</t>
  </si>
  <si>
    <t>::{BE122A0E-4503-11DA-8BDE-F66BAD1E3F3A}</t>
  </si>
  <si>
    <t>Windows Anytime Upgrade</t>
  </si>
  <si>
    <t>::{C555438B-3C23-4769-A71F-B6D3D9B6053A}</t>
  </si>
  <si>
    <t>Display (DPI)</t>
  </si>
  <si>
    <t>::{C58C4893-3BE0-4B45-ABB5-A63E4B8C8651}</t>
  </si>
  <si>
    <t>Troubleshooting</t>
  </si>
  <si>
    <t>::{CB1B7F8C-C50A-4176-B604-9E24DEE8D4D1}</t>
  </si>
  <si>
    <t>Welcome Center</t>
  </si>
  <si>
    <t>Getting Started</t>
  </si>
  <si>
    <t>::{D17D1D6D-CC3F-4815-8FE3-607E7D5D10B3}</t>
  </si>
  <si>
    <t>Text to Speech</t>
  </si>
  <si>
    <t>::{D20EA4E1-3957-11D2-A40B-0C5020524152}</t>
  </si>
  <si>
    <t>::{D20EA4E1-3957-11D2-A40B-0C5020524153}</t>
  </si>
  <si>
    <t>Administrative Tools</t>
  </si>
  <si>
    <t>Windows Tools</t>
  </si>
  <si>
    <t>::{D3162B92-9365-467A-956B-92703ACA08AF}</t>
  </si>
  <si>
    <t>::{D34A6CA6-62C2-4C34-8A7C-14709C1AD938}</t>
  </si>
  <si>
    <t>Common Places FS Folder</t>
  </si>
  <si>
    <t>::{D4480A50-BA28-11D1-8E75-00C04FA31A86}</t>
  </si>
  <si>
    <t>Add Network Place</t>
  </si>
  <si>
    <t>::{D450A8A1-9568-45C7-9C0E-B4F9FB4537BD}</t>
  </si>
  <si>
    <t>Installed Updates</t>
  </si>
  <si>
    <t>::{D555645E-D4F8-4C29-A827-D93C859C4F2A}</t>
  </si>
  <si>
    <t>Ease of Access Center</t>
  </si>
  <si>
    <t>::{D6277990-4C6A-11CF-8D87-00AA0060F5BF}</t>
  </si>
  <si>
    <t>Scheduled Tasks</t>
  </si>
  <si>
    <t>::{D8559EB9-20C0-410E-BEDA-7ED416AECC2A}</t>
  </si>
  <si>
    <t>Windows Defender</t>
  </si>
  <si>
    <t>::{D9EF8727-CAC2-4E60-809E-86F80A666C91}</t>
  </si>
  <si>
    <t>BitLocker Drive Encryption</t>
  </si>
  <si>
    <t>::{E211B736-43FD-11D1-9EFB-0000F8757FCD}</t>
  </si>
  <si>
    <t>Scanners and Cameras</t>
  </si>
  <si>
    <t>::{E2E7934B-DCE5-43C4-9576-7FE4F75E7480}</t>
  </si>
  <si>
    <t>Date and Time</t>
  </si>
  <si>
    <t>::{E44E5D18-0652-4508-A4E2-8A090067BCB0}</t>
  </si>
  <si>
    <t>::{E7DE9B1A-7533-4556-9484-B26FB486475E}</t>
  </si>
  <si>
    <t>Network Map</t>
  </si>
  <si>
    <t>::{E95A4861-D57A-4BE1-AD0F-35267E261739}</t>
  </si>
  <si>
    <t>Windows SideShow</t>
  </si>
  <si>
    <t>::{E9950154-C418-419E-A90A-20C5287AE24B}</t>
  </si>
  <si>
    <t>Location and Other Sensors</t>
  </si>
  <si>
    <t>Location Settings</t>
  </si>
  <si>
    <t>::{ECDB0924-4208-451E-8EE0-373C0956DE16}</t>
  </si>
  <si>
    <t>Work Folders</t>
  </si>
  <si>
    <t>::{ED228FDF-9EA8-4870-83B1-96B02CFE0D52}</t>
  </si>
  <si>
    <t>Games Explorer</t>
  </si>
  <si>
    <t>::{ED50FC29-B964-48A9-AFB3-15EBB9B97F36}</t>
  </si>
  <si>
    <t>printhood delegate folder</t>
  </si>
  <si>
    <t>::{ED7BA470-8E54-465E-825C-99712043E01C}</t>
  </si>
  <si>
    <t>All Tasks (God Mode)</t>
  </si>
  <si>
    <t>::{ED834ED6-4B5A-4BFE-8F11-A626DCB6A921}</t>
  </si>
  <si>
    <t>Personalization</t>
  </si>
  <si>
    <t>::{F02C1A0D-BE21-4350-88B0-7367FC96EF3C}</t>
  </si>
  <si>
    <t>Network</t>
  </si>
  <si>
    <t>::{F2DDFC82-8F12-4CDD-B7DC-D4FE1425AA4D}</t>
  </si>
  <si>
    <t>Sound</t>
  </si>
  <si>
    <t>::{F6B6E965-E9B2-444B-9286-10C9152EDBC5}</t>
  </si>
  <si>
    <t>File History</t>
  </si>
  <si>
    <t>::{F82DF8F7-8B9F-442E-A48C-818EA735FF9B}</t>
  </si>
  <si>
    <t>Pen and Touch</t>
  </si>
  <si>
    <t>::{F86FA3AB-70D2-4FC7-9C99-FCBF05467F3A}</t>
  </si>
  <si>
    <t>::{F8C2AB3B-17BC-41DA-9758-339D7DBF2D88}</t>
  </si>
  <si>
    <t>Previous Versions Results Folder</t>
  </si>
  <si>
    <t>::{F942C606-0914-47AB-BE56-1321B8035096}</t>
  </si>
  <si>
    <t>Storage Spaces</t>
  </si>
  <si>
    <t>::{FF393560-C2A7-11CF-BFF4-444553540000}</t>
  </si>
  <si>
    <t>::{645FF040-5081-101B-9F08-00AA002F954E}</t>
    <phoneticPr fontId="2" type="noConversion"/>
  </si>
  <si>
    <t>everything/excel</t>
    <phoneticPr fontId="2" type="noConversion"/>
  </si>
  <si>
    <t>eagle</t>
  </si>
  <si>
    <t>notepad</t>
  </si>
  <si>
    <t>pgup</t>
    <phoneticPr fontId="2" type="noConversion"/>
  </si>
  <si>
    <t>pgdn</t>
    <phoneticPr fontId="2" type="noConversion"/>
  </si>
  <si>
    <t>end</t>
    <phoneticPr fontId="2" type="noConversion"/>
  </si>
  <si>
    <t>home</t>
    <phoneticPr fontId="2" type="noConversion"/>
  </si>
  <si>
    <t>enter_wherever</t>
    <phoneticPr fontId="2" type="noConversion"/>
  </si>
  <si>
    <t>ctrl_z</t>
    <phoneticPr fontId="2" type="noConversion"/>
  </si>
  <si>
    <t>save / save_as</t>
    <phoneticPr fontId="2" type="noConversion"/>
  </si>
  <si>
    <t>问号/感叹号</t>
    <phoneticPr fontId="2" type="noConversion"/>
  </si>
  <si>
    <t>方括号/右方括号</t>
    <phoneticPr fontId="2" type="noConversion"/>
  </si>
  <si>
    <t>大括号/右大括号</t>
    <phoneticPr fontId="2" type="noConversion"/>
  </si>
  <si>
    <t>加</t>
    <phoneticPr fontId="2" type="noConversion"/>
  </si>
  <si>
    <t>减</t>
    <phoneticPr fontId="2" type="noConversion"/>
  </si>
  <si>
    <t>ctrl_a</t>
    <phoneticPr fontId="2" type="noConversion"/>
  </si>
  <si>
    <t>逗号/at</t>
    <phoneticPr fontId="2" type="noConversion"/>
  </si>
  <si>
    <t>竖线/和号</t>
    <phoneticPr fontId="2" type="noConversion"/>
  </si>
  <si>
    <t>冒号/分号</t>
    <phoneticPr fontId="2" type="noConversion"/>
  </si>
  <si>
    <t>括号/右括号</t>
    <phoneticPr fontId="2" type="noConversion"/>
  </si>
  <si>
    <t>除/反斜线</t>
    <phoneticPr fontId="2" type="noConversion"/>
  </si>
  <si>
    <t>乘/插入符</t>
    <phoneticPr fontId="2" type="noConversion"/>
  </si>
  <si>
    <t>下划线/井号</t>
    <phoneticPr fontId="2" type="noConversion"/>
  </si>
  <si>
    <t>小数点/美元</t>
    <phoneticPr fontId="2" type="noConversion"/>
  </si>
  <si>
    <t>等号/小于号/大于号</t>
    <phoneticPr fontId="2" type="noConversion"/>
  </si>
  <si>
    <t>小数点/百分号</t>
    <phoneticPr fontId="2" type="noConversion"/>
  </si>
  <si>
    <t>f1</t>
    <phoneticPr fontId="2" type="noConversion"/>
  </si>
  <si>
    <t>f2</t>
  </si>
  <si>
    <t>f3</t>
  </si>
  <si>
    <t>f5</t>
    <phoneticPr fontId="2" type="noConversion"/>
  </si>
  <si>
    <t>taskbar</t>
    <phoneticPr fontId="2" type="noConversion"/>
  </si>
  <si>
    <t>ctrl_q</t>
    <phoneticPr fontId="2" type="noConversion"/>
  </si>
  <si>
    <t>ctrl_w</t>
    <phoneticPr fontId="2" type="noConversion"/>
  </si>
  <si>
    <t>ctrl_e</t>
    <phoneticPr fontId="2" type="noConversion"/>
  </si>
  <si>
    <t>ctrl_r</t>
    <phoneticPr fontId="2" type="noConversion"/>
  </si>
  <si>
    <t>ctrl_t</t>
    <phoneticPr fontId="2" type="noConversion"/>
  </si>
  <si>
    <t>ctrl_a</t>
    <phoneticPr fontId="2" type="noConversion"/>
  </si>
  <si>
    <t>ctrl_s</t>
    <phoneticPr fontId="2" type="noConversion"/>
  </si>
  <si>
    <t>ctrl_d</t>
    <phoneticPr fontId="2" type="noConversion"/>
  </si>
  <si>
    <t>ctrl_f</t>
    <phoneticPr fontId="2" type="noConversion"/>
  </si>
  <si>
    <t>ctrl_g</t>
    <phoneticPr fontId="2" type="noConversion"/>
  </si>
  <si>
    <t>ctrl_z</t>
    <phoneticPr fontId="2" type="noConversion"/>
  </si>
  <si>
    <t>ctrl_x</t>
    <phoneticPr fontId="2" type="noConversion"/>
  </si>
  <si>
    <t>ctrl_c</t>
    <phoneticPr fontId="2" type="noConversion"/>
  </si>
  <si>
    <t>ctrl_v</t>
    <phoneticPr fontId="2" type="noConversion"/>
  </si>
  <si>
    <t>ctrl_b</t>
    <phoneticPr fontId="2" type="noConversion"/>
  </si>
  <si>
    <t>follow_one_xb1</t>
    <phoneticPr fontId="2" type="noConversion"/>
  </si>
  <si>
    <t>follow_two_xb1</t>
    <phoneticPr fontId="2" type="noConversion"/>
  </si>
  <si>
    <t>follow_three_xb1</t>
    <phoneticPr fontId="2" type="noConversion"/>
  </si>
  <si>
    <t>MDIClient1</t>
  </si>
  <si>
    <t>NetUIHWND3</t>
  </si>
  <si>
    <t>left_shapes &gt; center_shapes &gt; right_shapes</t>
    <phoneticPr fontId="2" type="noConversion"/>
  </si>
  <si>
    <t>hide_shapes</t>
    <phoneticPr fontId="2" type="noConversion"/>
  </si>
  <si>
    <t>back_shapes &gt; front_shapes</t>
    <phoneticPr fontId="2" type="noConversion"/>
  </si>
  <si>
    <t>keyFunc_LockShapes</t>
    <phoneticPr fontId="2" type="noConversion"/>
  </si>
  <si>
    <t>ctrl_shift</t>
    <phoneticPr fontId="2" type="noConversion"/>
  </si>
  <si>
    <t>esc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</si>
</sst>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theme="1"/>
      <name val="zGilroy-Regular"/>
    </font>
    <font>
      <sz val="11"/>
      <color theme="1"/>
      <name val="欧珀OPPOSans R"/>
      <family val="1"/>
      <charset val="134"/>
    </font>
    <font>
      <sz val="12"/>
      <color theme="1"/>
      <name val="欧珀OPPOSans B"/>
      <family val="1"/>
      <charset val="134"/>
    </font>
    <font>
      <sz val="11"/>
      <color theme="1"/>
      <name val="Microsoft YaHei Light"/>
      <family val="2"/>
      <charset val="134"/>
    </font>
    <font>
      <b/>
      <sz val="12"/>
      <color theme="1"/>
      <name val="zGilroy-Regular"/>
    </font>
    <font>
      <b/>
      <sz val="12"/>
      <color theme="1"/>
      <name val="Microsoft YaHei Light"/>
      <family val="2"/>
      <charset val="134"/>
    </font>
    <font>
      <sz val="11"/>
      <color theme="1"/>
      <name val="宋体"/>
      <family val="2"/>
      <charset val="134"/>
    </font>
    <font>
      <sz val="12"/>
      <color theme="1"/>
      <name val="阿里巴巴普惠体 2.0 65 Medium"/>
      <family val="1"/>
      <charset val="134"/>
    </font>
    <font>
      <sz val="11"/>
      <color theme="1"/>
      <name val="阿里巴巴普惠体 2.0 65 Medium"/>
      <family val="1"/>
      <charset val="134"/>
    </font>
    <font>
      <sz val="12"/>
      <color theme="1"/>
      <name val="zGilroy-Medium"/>
    </font>
    <font>
      <sz val="11"/>
      <color theme="1"/>
      <name val="zGilroy-Medium"/>
    </font>
    <font>
      <sz val="11"/>
      <color rgb="FFFF0000"/>
      <name val="zGilroy-Medium"/>
    </font>
    <font>
      <sz val="11"/>
      <color rgb="FFFF0000"/>
      <name val="阿里巴巴普惠体 2.0 65 Medium"/>
      <family val="1"/>
      <charset val="134"/>
    </font>
    <font>
      <sz val="12"/>
      <color rgb="FFFF0000"/>
      <name val="zGilroy-Medium"/>
    </font>
    <font>
      <sz val="12"/>
      <color theme="1"/>
      <name val="zGilroy-Bold"/>
    </font>
    <font>
      <sz val="11"/>
      <color theme="1"/>
      <name val="zGilroy-Bold"/>
    </font>
    <font>
      <sz val="12"/>
      <color theme="1"/>
      <name val="zGilroy-Bold"/>
      <family val="1"/>
    </font>
    <font>
      <sz val="11"/>
      <color rgb="FF000000"/>
      <name val="zGilroy-Regular"/>
    </font>
    <font>
      <u/>
      <sz val="11"/>
      <color theme="1"/>
      <name val="zGilroy-Regular"/>
    </font>
    <font>
      <sz val="11"/>
      <color theme="1"/>
      <name val="阿里巴巴普惠体 2.0 55 Regular"/>
      <family val="1"/>
      <charset val="134"/>
    </font>
    <font>
      <sz val="12"/>
      <color theme="1"/>
      <name val="zGilroy-Regular"/>
    </font>
    <font>
      <sz val="11"/>
      <color theme="1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</font>
    <font>
      <sz val="11"/>
      <color theme="1"/>
      <name val="zGilroy-Regular"/>
      <family val="2"/>
      <charset val="134"/>
    </font>
    <font>
      <sz val="10"/>
      <color rgb="FF555555"/>
      <name val="Arial"/>
      <family val="2"/>
    </font>
    <font>
      <sz val="10"/>
      <color rgb="FF555555"/>
      <name val="微软雅黑"/>
      <family val="2"/>
      <charset val="134"/>
    </font>
    <font>
      <sz val="9"/>
      <color theme="1"/>
      <name val="zGilroy-Regular"/>
    </font>
    <font>
      <sz val="9"/>
      <color theme="1"/>
      <name val="zGilroy-Regular"/>
      <family val="2"/>
      <charset val="134"/>
    </font>
    <font>
      <sz val="9"/>
      <color theme="1"/>
      <name val="微软雅黑"/>
      <family val="2"/>
      <charset val="134"/>
    </font>
    <font>
      <sz val="9"/>
      <color theme="1"/>
      <name val="Arial"/>
      <family val="2"/>
    </font>
    <font>
      <b/>
      <sz val="11"/>
      <color theme="1"/>
      <name val="zGilroy-Bold"/>
      <family val="2"/>
    </font>
    <font>
      <b/>
      <sz val="11"/>
      <color theme="1"/>
      <name val="Gilroy"/>
    </font>
    <font>
      <b/>
      <sz val="9"/>
      <color theme="1"/>
      <name val="Gilroy"/>
    </font>
    <font>
      <sz val="12"/>
      <color theme="1"/>
      <name val="阿里巴巴普惠体 3.0 45 Light"/>
      <family val="1"/>
      <charset val="134"/>
    </font>
    <font>
      <sz val="11"/>
      <color theme="1"/>
      <name val="阿里巴巴普惠体 3.0 45 Light"/>
      <family val="1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zGilroy-Regular"/>
    </font>
    <font>
      <b/>
      <sz val="12"/>
      <color theme="1"/>
      <name val="Gilroy Bold"/>
      <family val="3"/>
    </font>
    <font>
      <b/>
      <sz val="16"/>
      <color theme="1"/>
      <name val="Gilroy Bold"/>
      <family val="3"/>
    </font>
    <font>
      <sz val="12"/>
      <color theme="1"/>
      <name val="Gilroy Bold"/>
      <family val="3"/>
    </font>
    <font>
      <sz val="12"/>
      <color theme="1"/>
      <name val="Gilroy"/>
    </font>
    <font>
      <sz val="11"/>
      <color theme="1"/>
      <name val="Gilroy"/>
    </font>
    <font>
      <b/>
      <sz val="12"/>
      <color theme="1"/>
      <name val="Gilroy"/>
    </font>
    <font>
      <sz val="12"/>
      <color theme="1"/>
      <name val="喜鹊聚珍体 regular"/>
      <family val="3"/>
      <charset val="134"/>
    </font>
    <font>
      <sz val="14"/>
      <color theme="1"/>
      <name val="Gilroy"/>
    </font>
    <font>
      <b/>
      <sz val="14"/>
      <color theme="1"/>
      <name val="Gilroy"/>
    </font>
    <font>
      <b/>
      <sz val="14"/>
      <color theme="1"/>
      <name val="阿里巴巴普惠体 3.0 55 Regular"/>
      <family val="1"/>
      <charset val="134"/>
    </font>
    <font>
      <sz val="14"/>
      <color theme="1"/>
      <name val="阿里巴巴普惠体 3.0 55 Regular"/>
      <family val="1"/>
      <charset val="134"/>
    </font>
    <font>
      <sz val="14"/>
      <color theme="1"/>
      <name val="OPPOSans R"/>
      <family val="1"/>
      <charset val="134"/>
    </font>
    <font>
      <b/>
      <sz val="12"/>
      <color theme="1"/>
      <name val="OPPOSans R"/>
      <family val="1"/>
      <charset val="134"/>
    </font>
    <font>
      <sz val="14"/>
      <color rgb="FF000000"/>
      <name val="OPPOSans R"/>
      <family val="1"/>
      <charset val="134"/>
    </font>
    <font>
      <sz val="14"/>
      <color theme="1"/>
      <name val="OPPOSans B"/>
      <family val="1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8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7" fillId="0" borderId="0" xfId="0" applyFont="1">
      <alignment vertical="center"/>
    </xf>
    <xf numFmtId="0" fontId="9" fillId="0" borderId="2" xfId="0" applyFont="1" applyBorder="1">
      <alignment vertical="center"/>
    </xf>
    <xf numFmtId="9" fontId="0" fillId="0" borderId="0" xfId="0" applyNumberFormat="1">
      <alignment vertical="center"/>
    </xf>
    <xf numFmtId="0" fontId="3" fillId="0" borderId="6" xfId="1" applyFont="1" applyBorder="1"/>
    <xf numFmtId="0" fontId="12" fillId="2" borderId="2" xfId="0" applyFont="1" applyFill="1" applyBorder="1" applyAlignment="1">
      <alignment horizontal="center" vertical="center"/>
    </xf>
    <xf numFmtId="0" fontId="12" fillId="2" borderId="2" xfId="0" applyFont="1" applyFill="1" applyBorder="1">
      <alignment vertical="center"/>
    </xf>
    <xf numFmtId="0" fontId="12" fillId="0" borderId="2" xfId="0" applyFont="1" applyBorder="1">
      <alignment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>
      <alignment vertical="center"/>
    </xf>
    <xf numFmtId="0" fontId="13" fillId="0" borderId="2" xfId="1" applyFont="1" applyBorder="1"/>
    <xf numFmtId="0" fontId="13" fillId="3" borderId="2" xfId="0" applyFont="1" applyFill="1" applyBorder="1" applyAlignment="1">
      <alignment horizontal="center" vertical="center"/>
    </xf>
    <xf numFmtId="0" fontId="13" fillId="3" borderId="2" xfId="0" applyFont="1" applyFill="1" applyBorder="1">
      <alignment vertical="center"/>
    </xf>
    <xf numFmtId="0" fontId="12" fillId="3" borderId="2" xfId="0" applyFont="1" applyFill="1" applyBorder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2" xfId="0" applyFont="1" applyBorder="1">
      <alignment vertical="center"/>
    </xf>
    <xf numFmtId="0" fontId="16" fillId="0" borderId="2" xfId="0" applyFont="1" applyBorder="1">
      <alignment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2" xfId="0" applyFont="1" applyFill="1" applyBorder="1">
      <alignment vertical="center"/>
    </xf>
    <xf numFmtId="0" fontId="16" fillId="3" borderId="2" xfId="0" applyFont="1" applyFill="1" applyBorder="1">
      <alignment vertical="center"/>
    </xf>
    <xf numFmtId="0" fontId="19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0" xfId="1" applyFont="1" applyBorder="1" applyAlignment="1">
      <alignment horizontal="left"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20" fillId="0" borderId="13" xfId="0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21" fillId="0" borderId="13" xfId="0" applyFont="1" applyBorder="1">
      <alignment vertical="center"/>
    </xf>
    <xf numFmtId="0" fontId="23" fillId="2" borderId="1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24" fillId="0" borderId="13" xfId="0" applyFont="1" applyBorder="1">
      <alignment vertical="center"/>
    </xf>
    <xf numFmtId="0" fontId="3" fillId="0" borderId="13" xfId="0" quotePrefix="1" applyFont="1" applyBorder="1" applyAlignment="1">
      <alignment horizontal="center" vertical="center"/>
    </xf>
    <xf numFmtId="0" fontId="22" fillId="0" borderId="13" xfId="0" applyFont="1" applyBorder="1">
      <alignment vertical="center"/>
    </xf>
    <xf numFmtId="0" fontId="24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5" fillId="0" borderId="13" xfId="0" applyFont="1" applyBorder="1">
      <alignment vertical="center"/>
    </xf>
    <xf numFmtId="0" fontId="18" fillId="0" borderId="10" xfId="0" applyFont="1" applyBorder="1" applyAlignment="1">
      <alignment horizontal="center" vertical="center"/>
    </xf>
    <xf numFmtId="0" fontId="17" fillId="2" borderId="8" xfId="0" applyFont="1" applyFill="1" applyBorder="1" applyAlignment="1">
      <alignment horizontal="left" vertical="center" indent="1"/>
    </xf>
    <xf numFmtId="0" fontId="17" fillId="2" borderId="9" xfId="0" applyFont="1" applyFill="1" applyBorder="1" applyAlignment="1">
      <alignment horizontal="left" vertical="center" indent="1"/>
    </xf>
    <xf numFmtId="0" fontId="17" fillId="0" borderId="0" xfId="0" applyFont="1" applyAlignment="1">
      <alignment horizontal="left" vertical="center" indent="1"/>
    </xf>
    <xf numFmtId="0" fontId="3" fillId="0" borderId="10" xfId="0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5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25" fillId="0" borderId="13" xfId="0" applyFont="1" applyBorder="1" applyAlignment="1">
      <alignment horizontal="left" vertical="center" indent="1"/>
    </xf>
    <xf numFmtId="0" fontId="3" fillId="0" borderId="10" xfId="1" applyFont="1" applyBorder="1" applyAlignment="1">
      <alignment horizontal="left" vertical="center" indent="1"/>
    </xf>
    <xf numFmtId="0" fontId="20" fillId="0" borderId="15" xfId="0" applyFont="1" applyBorder="1" applyAlignment="1">
      <alignment horizontal="left" vertical="center" indent="1"/>
    </xf>
    <xf numFmtId="0" fontId="3" fillId="0" borderId="15" xfId="1" applyFont="1" applyBorder="1" applyAlignment="1">
      <alignment horizontal="left" vertical="center" indent="1"/>
    </xf>
    <xf numFmtId="0" fontId="3" fillId="0" borderId="14" xfId="0" applyFont="1" applyBorder="1" applyAlignment="1">
      <alignment horizontal="left" vertical="center" indent="1"/>
    </xf>
    <xf numFmtId="0" fontId="19" fillId="2" borderId="16" xfId="0" applyFont="1" applyFill="1" applyBorder="1" applyAlignment="1">
      <alignment horizontal="center" vertical="center"/>
    </xf>
    <xf numFmtId="0" fontId="3" fillId="0" borderId="10" xfId="0" quotePrefix="1" applyFont="1" applyBorder="1" applyAlignment="1">
      <alignment horizontal="left" vertical="center" indent="1"/>
    </xf>
    <xf numFmtId="0" fontId="3" fillId="0" borderId="0" xfId="0" quotePrefix="1" applyFont="1" applyAlignment="1">
      <alignment horizontal="left" vertical="center" indent="1"/>
    </xf>
    <xf numFmtId="0" fontId="25" fillId="0" borderId="10" xfId="0" applyFont="1" applyBorder="1" applyAlignment="1">
      <alignment horizontal="left" vertical="center" indent="1"/>
    </xf>
    <xf numFmtId="0" fontId="28" fillId="0" borderId="0" xfId="0" applyFont="1" applyAlignment="1">
      <alignment horizontal="left" vertical="center" wrapText="1"/>
    </xf>
    <xf numFmtId="0" fontId="30" fillId="0" borderId="13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0" fillId="0" borderId="15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2" fillId="0" borderId="13" xfId="0" applyFont="1" applyBorder="1" applyAlignment="1">
      <alignment horizontal="left" vertical="center"/>
    </xf>
    <xf numFmtId="0" fontId="30" fillId="0" borderId="10" xfId="1" applyFont="1" applyBorder="1" applyAlignment="1">
      <alignment horizontal="left" vertical="center"/>
    </xf>
    <xf numFmtId="0" fontId="32" fillId="0" borderId="15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0" fontId="19" fillId="2" borderId="7" xfId="0" applyFont="1" applyFill="1" applyBorder="1" applyAlignment="1">
      <alignment horizontal="left" vertical="center"/>
    </xf>
    <xf numFmtId="0" fontId="17" fillId="2" borderId="8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quotePrefix="1" applyFont="1" applyBorder="1" applyAlignment="1">
      <alignment horizontal="left" vertical="center"/>
    </xf>
    <xf numFmtId="0" fontId="34" fillId="2" borderId="8" xfId="0" applyFont="1" applyFill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5" fillId="2" borderId="7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10" xfId="0" quotePrefix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0" fillId="4" borderId="10" xfId="0" applyFont="1" applyFill="1" applyBorder="1" applyAlignment="1">
      <alignment horizontal="left" vertical="center"/>
    </xf>
    <xf numFmtId="0" fontId="30" fillId="4" borderId="13" xfId="0" applyFont="1" applyFill="1" applyBorder="1" applyAlignment="1">
      <alignment horizontal="left" vertical="center"/>
    </xf>
    <xf numFmtId="0" fontId="30" fillId="4" borderId="15" xfId="0" applyFont="1" applyFill="1" applyBorder="1" applyAlignment="1">
      <alignment horizontal="left" vertical="center"/>
    </xf>
    <xf numFmtId="0" fontId="31" fillId="4" borderId="13" xfId="0" applyFont="1" applyFill="1" applyBorder="1" applyAlignment="1">
      <alignment horizontal="left" vertical="center"/>
    </xf>
    <xf numFmtId="0" fontId="32" fillId="4" borderId="13" xfId="0" applyFont="1" applyFill="1" applyBorder="1" applyAlignment="1">
      <alignment horizontal="left" vertical="center"/>
    </xf>
    <xf numFmtId="0" fontId="30" fillId="4" borderId="0" xfId="0" applyFont="1" applyFill="1" applyAlignment="1">
      <alignment horizontal="left" vertical="center"/>
    </xf>
    <xf numFmtId="0" fontId="31" fillId="5" borderId="13" xfId="0" applyFont="1" applyFill="1" applyBorder="1" applyAlignment="1">
      <alignment horizontal="left" vertical="center"/>
    </xf>
    <xf numFmtId="0" fontId="30" fillId="5" borderId="13" xfId="0" applyFont="1" applyFill="1" applyBorder="1" applyAlignment="1">
      <alignment horizontal="left" vertical="center"/>
    </xf>
    <xf numFmtId="0" fontId="32" fillId="5" borderId="13" xfId="0" applyFont="1" applyFill="1" applyBorder="1" applyAlignment="1">
      <alignment horizontal="left" vertical="center"/>
    </xf>
    <xf numFmtId="0" fontId="31" fillId="5" borderId="10" xfId="0" applyFont="1" applyFill="1" applyBorder="1" applyAlignment="1">
      <alignment horizontal="left" vertical="center"/>
    </xf>
    <xf numFmtId="0" fontId="37" fillId="2" borderId="17" xfId="0" applyFont="1" applyFill="1" applyBorder="1" applyAlignment="1">
      <alignment horizontal="left" vertical="center"/>
    </xf>
    <xf numFmtId="0" fontId="37" fillId="0" borderId="17" xfId="0" applyFont="1" applyBorder="1" applyAlignment="1">
      <alignment horizontal="left" vertical="center"/>
    </xf>
    <xf numFmtId="0" fontId="38" fillId="0" borderId="17" xfId="0" applyFont="1" applyBorder="1" applyAlignment="1">
      <alignment horizontal="left" vertical="center"/>
    </xf>
    <xf numFmtId="0" fontId="32" fillId="4" borderId="15" xfId="0" applyFont="1" applyFill="1" applyBorder="1" applyAlignment="1">
      <alignment horizontal="left" vertical="center"/>
    </xf>
    <xf numFmtId="0" fontId="32" fillId="0" borderId="10" xfId="1" applyFont="1" applyBorder="1" applyAlignment="1">
      <alignment horizontal="left" vertical="center"/>
    </xf>
    <xf numFmtId="0" fontId="32" fillId="0" borderId="10" xfId="0" applyFont="1" applyBorder="1" applyAlignment="1">
      <alignment horizontal="left" vertical="center"/>
    </xf>
    <xf numFmtId="0" fontId="32" fillId="5" borderId="10" xfId="0" applyFont="1" applyFill="1" applyBorder="1" applyAlignment="1">
      <alignment horizontal="left" vertical="center"/>
    </xf>
    <xf numFmtId="0" fontId="3" fillId="6" borderId="13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0" fontId="18" fillId="6" borderId="10" xfId="0" applyFont="1" applyFill="1" applyBorder="1" applyAlignment="1">
      <alignment horizontal="left" vertical="center"/>
    </xf>
    <xf numFmtId="0" fontId="3" fillId="6" borderId="13" xfId="0" quotePrefix="1" applyFont="1" applyFill="1" applyBorder="1" applyAlignment="1">
      <alignment horizontal="left" vertical="center"/>
    </xf>
    <xf numFmtId="0" fontId="3" fillId="6" borderId="15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9" fillId="0" borderId="13" xfId="0" applyFont="1" applyBorder="1" applyAlignment="1">
      <alignment horizontal="left" vertical="center"/>
    </xf>
    <xf numFmtId="0" fontId="40" fillId="0" borderId="13" xfId="0" applyFont="1" applyBorder="1" applyAlignment="1">
      <alignment horizontal="left" vertical="center"/>
    </xf>
    <xf numFmtId="0" fontId="42" fillId="2" borderId="8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2" fillId="2" borderId="7" xfId="0" applyFont="1" applyFill="1" applyBorder="1" applyAlignment="1">
      <alignment horizontal="left" vertical="center"/>
    </xf>
    <xf numFmtId="0" fontId="41" fillId="0" borderId="10" xfId="0" applyFont="1" applyBorder="1" applyAlignment="1">
      <alignment horizontal="left" vertical="center"/>
    </xf>
    <xf numFmtId="0" fontId="41" fillId="0" borderId="10" xfId="0" quotePrefix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4" fillId="0" borderId="13" xfId="0" applyFont="1" applyBorder="1" applyAlignment="1">
      <alignment horizontal="left" vertical="center"/>
    </xf>
    <xf numFmtId="0" fontId="44" fillId="0" borderId="10" xfId="0" applyFont="1" applyBorder="1" applyAlignment="1">
      <alignment horizontal="left" vertical="center"/>
    </xf>
    <xf numFmtId="0" fontId="44" fillId="0" borderId="15" xfId="0" applyFont="1" applyBorder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1" fillId="4" borderId="10" xfId="0" applyFont="1" applyFill="1" applyBorder="1" applyAlignment="1">
      <alignment horizontal="left" vertical="center"/>
    </xf>
    <xf numFmtId="0" fontId="44" fillId="4" borderId="13" xfId="0" applyFont="1" applyFill="1" applyBorder="1" applyAlignment="1">
      <alignment horizontal="left" vertical="center"/>
    </xf>
    <xf numFmtId="0" fontId="44" fillId="4" borderId="10" xfId="0" applyFont="1" applyFill="1" applyBorder="1" applyAlignment="1">
      <alignment horizontal="left" vertical="center"/>
    </xf>
    <xf numFmtId="0" fontId="44" fillId="4" borderId="15" xfId="0" applyFont="1" applyFill="1" applyBorder="1" applyAlignment="1">
      <alignment horizontal="left" vertical="center"/>
    </xf>
    <xf numFmtId="0" fontId="45" fillId="4" borderId="13" xfId="0" applyFont="1" applyFill="1" applyBorder="1" applyAlignment="1">
      <alignment horizontal="left" vertical="center"/>
    </xf>
    <xf numFmtId="0" fontId="44" fillId="0" borderId="13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1" fillId="2" borderId="7" xfId="0" applyFont="1" applyFill="1" applyBorder="1" applyAlignment="1">
      <alignment horizontal="left" vertical="center"/>
    </xf>
    <xf numFmtId="0" fontId="41" fillId="2" borderId="8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6" fillId="0" borderId="13" xfId="0" applyFont="1" applyBorder="1" applyAlignment="1">
      <alignment horizontal="left" vertical="center"/>
    </xf>
    <xf numFmtId="0" fontId="47" fillId="0" borderId="13" xfId="0" applyFont="1" applyBorder="1" applyAlignment="1">
      <alignment horizontal="left" vertical="center"/>
    </xf>
    <xf numFmtId="0" fontId="48" fillId="0" borderId="13" xfId="0" applyFont="1" applyBorder="1" applyAlignment="1">
      <alignment horizontal="left" vertical="center"/>
    </xf>
    <xf numFmtId="0" fontId="49" fillId="2" borderId="8" xfId="0" applyFont="1" applyFill="1" applyBorder="1" applyAlignment="1">
      <alignment horizontal="left" vertical="center"/>
    </xf>
    <xf numFmtId="0" fontId="49" fillId="2" borderId="7" xfId="0" applyFont="1" applyFill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8" fillId="0" borderId="10" xfId="0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9" fillId="0" borderId="10" xfId="0" applyFont="1" applyBorder="1" applyAlignment="1">
      <alignment horizontal="left" vertical="center"/>
    </xf>
    <xf numFmtId="0" fontId="50" fillId="2" borderId="8" xfId="0" applyFont="1" applyFill="1" applyBorder="1" applyAlignment="1">
      <alignment horizontal="left" vertical="center"/>
    </xf>
    <xf numFmtId="0" fontId="51" fillId="0" borderId="13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2" fillId="3" borderId="2" xfId="0" applyFont="1" applyFill="1" applyBorder="1">
      <alignment vertical="center"/>
    </xf>
    <xf numFmtId="0" fontId="52" fillId="2" borderId="2" xfId="0" applyFont="1" applyFill="1" applyBorder="1">
      <alignment vertical="center"/>
    </xf>
    <xf numFmtId="0" fontId="52" fillId="0" borderId="0" xfId="0" applyFont="1">
      <alignment vertical="center"/>
    </xf>
    <xf numFmtId="0" fontId="52" fillId="3" borderId="2" xfId="0" applyFont="1" applyFill="1" applyBorder="1" applyAlignment="1">
      <alignment horizontal="center" vertical="center"/>
    </xf>
    <xf numFmtId="0" fontId="52" fillId="0" borderId="2" xfId="0" applyFont="1" applyBorder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2" fillId="0" borderId="2" xfId="0" quotePrefix="1" applyFont="1" applyBorder="1" applyAlignment="1">
      <alignment horizontal="left" vertical="center"/>
    </xf>
    <xf numFmtId="0" fontId="53" fillId="0" borderId="10" xfId="0" applyFont="1" applyBorder="1" applyAlignment="1">
      <alignment horizontal="left" vertical="center"/>
    </xf>
    <xf numFmtId="0" fontId="53" fillId="4" borderId="10" xfId="0" applyFont="1" applyFill="1" applyBorder="1" applyAlignment="1">
      <alignment horizontal="left" vertical="center"/>
    </xf>
    <xf numFmtId="0" fontId="52" fillId="3" borderId="2" xfId="0" quotePrefix="1" applyFont="1" applyFill="1" applyBorder="1" applyAlignment="1">
      <alignment horizontal="center" vertical="center"/>
    </xf>
    <xf numFmtId="0" fontId="52" fillId="0" borderId="2" xfId="0" applyFont="1" applyBorder="1">
      <alignment vertical="center"/>
    </xf>
    <xf numFmtId="0" fontId="52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7" borderId="2" xfId="0" applyFont="1" applyFill="1" applyBorder="1" applyAlignment="1">
      <alignment horizontal="left" vertical="center"/>
    </xf>
    <xf numFmtId="0" fontId="52" fillId="7" borderId="2" xfId="0" applyFont="1" applyFill="1" applyBorder="1">
      <alignment vertical="center"/>
    </xf>
    <xf numFmtId="0" fontId="52" fillId="8" borderId="2" xfId="0" applyFont="1" applyFill="1" applyBorder="1" applyAlignment="1">
      <alignment horizontal="left" vertical="center"/>
    </xf>
    <xf numFmtId="0" fontId="54" fillId="0" borderId="2" xfId="0" applyFont="1" applyBorder="1" applyAlignment="1">
      <alignment horizontal="left" vertical="center"/>
    </xf>
    <xf numFmtId="49" fontId="0" fillId="0" borderId="0" xfId="0" applyNumberFormat="1">
      <alignment vertical="center"/>
    </xf>
    <xf numFmtId="0" fontId="52" fillId="9" borderId="2" xfId="0" applyFont="1" applyFill="1" applyBorder="1" applyAlignment="1">
      <alignment horizontal="center" vertical="center"/>
    </xf>
    <xf numFmtId="0" fontId="55" fillId="2" borderId="2" xfId="0" applyFont="1" applyFill="1" applyBorder="1">
      <alignment vertical="center"/>
    </xf>
    <xf numFmtId="0" fontId="55" fillId="0" borderId="0" xfId="0" applyFont="1">
      <alignment vertical="center"/>
    </xf>
  </cellXfs>
  <cellStyles count="2">
    <cellStyle name="常规" xfId="0" builtinId="0"/>
    <cellStyle name="常规 2" xfId="1" xr:uid="{84E81AEA-F2C8-4BF9-B877-F33D6A6A32A0}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006600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CAB8C-D8C1-4729-A092-9C9F54E4F1D4}">
  <dimension ref="A1:K16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ColWidth="18.109375" defaultRowHeight="27" customHeight="1"/>
  <cols>
    <col min="1" max="1" width="6.6640625" style="171" customWidth="1"/>
    <col min="2" max="2" width="63.33203125" style="164" customWidth="1"/>
    <col min="3" max="7" width="35" style="164" customWidth="1"/>
    <col min="8" max="11" width="25.88671875" style="164" customWidth="1"/>
    <col min="12" max="16384" width="18.109375" style="164"/>
  </cols>
  <sheetData>
    <row r="1" spans="1:11" s="179" customFormat="1" ht="27" customHeight="1">
      <c r="A1" s="178" t="s">
        <v>899</v>
      </c>
      <c r="B1" s="178" t="s">
        <v>2868</v>
      </c>
      <c r="C1" s="178" t="s">
        <v>2869</v>
      </c>
      <c r="D1" s="178" t="s">
        <v>2867</v>
      </c>
      <c r="E1" s="178" t="s">
        <v>2865</v>
      </c>
      <c r="F1" s="178" t="s">
        <v>2866</v>
      </c>
      <c r="G1" s="178" t="s">
        <v>2867</v>
      </c>
      <c r="H1" s="178" t="s">
        <v>2517</v>
      </c>
      <c r="I1" s="178" t="s">
        <v>2518</v>
      </c>
      <c r="J1" s="178" t="s">
        <v>1366</v>
      </c>
      <c r="K1" s="178" t="s">
        <v>2519</v>
      </c>
    </row>
    <row r="2" spans="1:11" ht="27" customHeight="1">
      <c r="A2" s="162" t="s">
        <v>2454</v>
      </c>
      <c r="B2" s="163"/>
      <c r="C2" s="163"/>
      <c r="D2" s="163"/>
      <c r="E2" s="163"/>
      <c r="F2" s="163"/>
      <c r="G2" s="163"/>
      <c r="H2" s="163" t="s">
        <v>2850</v>
      </c>
      <c r="I2" s="163"/>
      <c r="J2" s="163"/>
      <c r="K2" s="163">
        <v>6</v>
      </c>
    </row>
    <row r="3" spans="1:11" ht="27" customHeight="1">
      <c r="A3" s="162" t="s">
        <v>1445</v>
      </c>
      <c r="B3" s="163" t="s">
        <v>2870</v>
      </c>
      <c r="C3" s="163"/>
      <c r="D3" s="163"/>
      <c r="E3" s="163"/>
      <c r="F3" s="163"/>
      <c r="G3" s="163"/>
      <c r="H3" s="163" t="s">
        <v>2851</v>
      </c>
      <c r="I3" s="163"/>
      <c r="J3" s="163"/>
      <c r="K3" s="165">
        <v>7</v>
      </c>
    </row>
    <row r="4" spans="1:11" ht="27" customHeight="1">
      <c r="A4" s="162" t="s">
        <v>1444</v>
      </c>
      <c r="B4" s="163" t="s">
        <v>2871</v>
      </c>
      <c r="C4" s="163"/>
      <c r="D4" s="163"/>
      <c r="E4" s="163"/>
      <c r="F4" s="163"/>
      <c r="G4" s="163"/>
      <c r="H4" s="163" t="s">
        <v>2852</v>
      </c>
      <c r="I4" s="163"/>
      <c r="J4" s="163"/>
      <c r="K4" s="163">
        <v>8</v>
      </c>
    </row>
    <row r="5" spans="1:11" ht="27" customHeight="1">
      <c r="A5" s="162" t="s">
        <v>2118</v>
      </c>
      <c r="B5" s="163" t="s">
        <v>2872</v>
      </c>
      <c r="C5" s="163"/>
      <c r="D5" s="163"/>
      <c r="E5" s="163"/>
      <c r="F5" s="163"/>
      <c r="G5" s="163"/>
      <c r="H5" s="163" t="s">
        <v>2853</v>
      </c>
      <c r="I5" s="163"/>
      <c r="J5" s="163"/>
      <c r="K5" s="163">
        <v>9</v>
      </c>
    </row>
    <row r="6" spans="1:11" ht="27" customHeight="1">
      <c r="A6" s="162" t="s">
        <v>1446</v>
      </c>
      <c r="B6" s="163" t="s">
        <v>2873</v>
      </c>
      <c r="C6" s="163"/>
      <c r="D6" s="163"/>
      <c r="E6" s="163"/>
      <c r="F6" s="163"/>
      <c r="G6" s="163"/>
      <c r="H6" s="163" t="s">
        <v>2854</v>
      </c>
      <c r="I6" s="163"/>
      <c r="J6" s="163"/>
      <c r="K6" s="163">
        <v>0</v>
      </c>
    </row>
    <row r="7" spans="1:11" ht="27" customHeight="1">
      <c r="A7" s="177" t="s">
        <v>1980</v>
      </c>
      <c r="B7" s="163" t="s">
        <v>2874</v>
      </c>
      <c r="C7" s="163"/>
      <c r="D7" s="163"/>
      <c r="E7" s="163"/>
      <c r="F7" s="163"/>
      <c r="G7" s="163"/>
      <c r="H7" s="163" t="s">
        <v>2834</v>
      </c>
      <c r="I7" s="163" t="s">
        <v>2119</v>
      </c>
      <c r="J7" s="163"/>
      <c r="K7" s="174">
        <v>1</v>
      </c>
    </row>
    <row r="8" spans="1:11" ht="27" customHeight="1">
      <c r="A8" s="177" t="s">
        <v>2455</v>
      </c>
      <c r="B8" s="163"/>
      <c r="C8" s="163"/>
      <c r="D8" s="163"/>
      <c r="E8" s="163"/>
      <c r="F8" s="163"/>
      <c r="G8" s="163"/>
      <c r="H8" s="163" t="s">
        <v>2856</v>
      </c>
      <c r="I8" s="163" t="s">
        <v>2846</v>
      </c>
      <c r="J8" s="163"/>
      <c r="K8" s="163">
        <v>2</v>
      </c>
    </row>
    <row r="9" spans="1:11" ht="27" customHeight="1">
      <c r="A9" s="177" t="s">
        <v>1566</v>
      </c>
      <c r="B9" s="163"/>
      <c r="C9" s="163"/>
      <c r="D9" s="163"/>
      <c r="E9" s="163"/>
      <c r="F9" s="163"/>
      <c r="G9" s="163"/>
      <c r="H9" s="163" t="s">
        <v>2857</v>
      </c>
      <c r="I9" s="163" t="s">
        <v>2847</v>
      </c>
      <c r="J9" s="163"/>
      <c r="K9" s="163">
        <v>3</v>
      </c>
    </row>
    <row r="10" spans="1:11" ht="27" customHeight="1">
      <c r="A10" s="177" t="s">
        <v>1449</v>
      </c>
      <c r="B10" s="163"/>
      <c r="C10" s="163"/>
      <c r="D10" s="163"/>
      <c r="E10" s="163"/>
      <c r="F10" s="163"/>
      <c r="G10" s="163"/>
      <c r="H10" s="163" t="s">
        <v>2858</v>
      </c>
      <c r="I10" s="163" t="s">
        <v>2858</v>
      </c>
      <c r="J10" s="163"/>
      <c r="K10" s="163">
        <v>4</v>
      </c>
    </row>
    <row r="11" spans="1:11" ht="27" customHeight="1">
      <c r="A11" s="177" t="s">
        <v>1448</v>
      </c>
      <c r="B11" s="163"/>
      <c r="C11" s="163"/>
      <c r="D11" s="163"/>
      <c r="E11" s="163"/>
      <c r="F11" s="163"/>
      <c r="G11" s="163"/>
      <c r="H11" s="163" t="s">
        <v>2859</v>
      </c>
      <c r="I11" s="163" t="s">
        <v>2123</v>
      </c>
      <c r="J11" s="163"/>
      <c r="K11" s="163">
        <v>5</v>
      </c>
    </row>
    <row r="12" spans="1:11" ht="27" customHeight="1">
      <c r="A12" s="162" t="s">
        <v>2457</v>
      </c>
      <c r="B12" s="163"/>
      <c r="C12" s="163"/>
      <c r="D12" s="163"/>
      <c r="E12" s="163"/>
      <c r="F12" s="163"/>
      <c r="G12" s="163"/>
      <c r="H12" s="163" t="s">
        <v>2827</v>
      </c>
      <c r="I12" s="163"/>
      <c r="J12" s="163"/>
      <c r="K12" s="163" t="s">
        <v>2832</v>
      </c>
    </row>
    <row r="13" spans="1:11" ht="27" customHeight="1">
      <c r="A13" s="162" t="s">
        <v>2458</v>
      </c>
      <c r="B13" s="163"/>
      <c r="C13" s="163"/>
      <c r="D13" s="163"/>
      <c r="E13" s="163"/>
      <c r="F13" s="163"/>
      <c r="G13" s="163"/>
      <c r="H13" s="163" t="s">
        <v>2861</v>
      </c>
      <c r="I13" s="163"/>
      <c r="J13" s="163"/>
      <c r="K13" s="163" t="s">
        <v>2833</v>
      </c>
    </row>
    <row r="14" spans="1:11" ht="27" customHeight="1">
      <c r="A14" s="162" t="s">
        <v>2459</v>
      </c>
      <c r="B14" s="163"/>
      <c r="C14" s="163"/>
      <c r="D14" s="163"/>
      <c r="E14" s="163"/>
      <c r="F14" s="163"/>
      <c r="G14" s="163"/>
      <c r="H14" s="163" t="s">
        <v>2862</v>
      </c>
      <c r="I14" s="163"/>
      <c r="J14" s="163"/>
      <c r="K14" s="163" t="s">
        <v>2840</v>
      </c>
    </row>
    <row r="15" spans="1:11" s="171" customFormat="1" ht="27" customHeight="1">
      <c r="A15" s="162" t="s">
        <v>1383</v>
      </c>
      <c r="B15" s="163"/>
      <c r="C15" s="163"/>
      <c r="D15" s="163"/>
      <c r="E15" s="163"/>
      <c r="F15" s="163"/>
      <c r="G15" s="163"/>
      <c r="H15" s="163" t="s">
        <v>2863</v>
      </c>
      <c r="I15" s="163"/>
      <c r="J15" s="163"/>
      <c r="K15" s="163" t="s">
        <v>2839</v>
      </c>
    </row>
    <row r="16" spans="1:11" ht="27" customHeight="1">
      <c r="A16" s="162" t="s">
        <v>1564</v>
      </c>
      <c r="B16" s="163"/>
      <c r="C16" s="163"/>
      <c r="D16" s="163"/>
      <c r="E16" s="163"/>
      <c r="F16" s="163"/>
      <c r="G16" s="163"/>
      <c r="H16" s="163" t="s">
        <v>2864</v>
      </c>
      <c r="I16" s="163"/>
      <c r="J16" s="163"/>
      <c r="K16" s="163" t="s">
        <v>2842</v>
      </c>
    </row>
  </sheetData>
  <phoneticPr fontId="2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9AF3-E0C6-4455-ADB5-95D09FACF111}">
  <dimension ref="A1:K29"/>
  <sheetViews>
    <sheetView showGridLines="0"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4" sqref="D24"/>
    </sheetView>
  </sheetViews>
  <sheetFormatPr defaultColWidth="18.109375" defaultRowHeight="27" customHeight="1"/>
  <cols>
    <col min="1" max="1" width="6.6640625" style="171" customWidth="1"/>
    <col min="2" max="3" width="25.88671875" style="164" customWidth="1"/>
    <col min="4" max="4" width="30.5546875" style="164" customWidth="1"/>
    <col min="5" max="11" width="25.88671875" style="164" customWidth="1"/>
    <col min="12" max="16384" width="18.109375" style="164"/>
  </cols>
  <sheetData>
    <row r="1" spans="1:11" s="179" customFormat="1" ht="27" customHeight="1">
      <c r="A1" s="178" t="s">
        <v>899</v>
      </c>
      <c r="B1" s="178" t="s">
        <v>2479</v>
      </c>
      <c r="C1" s="178" t="s">
        <v>2469</v>
      </c>
      <c r="D1" s="178" t="s">
        <v>2128</v>
      </c>
      <c r="E1" s="178" t="s">
        <v>2849</v>
      </c>
      <c r="F1" s="178" t="s">
        <v>2515</v>
      </c>
      <c r="G1" s="178" t="s">
        <v>2516</v>
      </c>
      <c r="H1" s="178" t="s">
        <v>2517</v>
      </c>
      <c r="I1" s="178" t="s">
        <v>2518</v>
      </c>
      <c r="J1" s="178" t="s">
        <v>1366</v>
      </c>
      <c r="K1" s="178" t="s">
        <v>2519</v>
      </c>
    </row>
    <row r="2" spans="1:11" ht="27" customHeight="1">
      <c r="A2" s="162" t="s">
        <v>2454</v>
      </c>
      <c r="B2" s="163"/>
      <c r="C2" s="163"/>
      <c r="D2" s="163"/>
      <c r="E2" s="163"/>
      <c r="F2" s="163"/>
      <c r="G2" s="163" t="s">
        <v>2875</v>
      </c>
      <c r="H2" s="163" t="s">
        <v>2850</v>
      </c>
      <c r="I2" s="163" t="s">
        <v>2875</v>
      </c>
      <c r="J2" s="163"/>
      <c r="K2" s="163">
        <v>6</v>
      </c>
    </row>
    <row r="3" spans="1:11" ht="27" customHeight="1">
      <c r="A3" s="162" t="s">
        <v>1445</v>
      </c>
      <c r="B3" s="163" t="s">
        <v>2124</v>
      </c>
      <c r="C3" s="163" t="s">
        <v>2825</v>
      </c>
      <c r="D3" s="163"/>
      <c r="E3" s="163"/>
      <c r="F3" s="163" t="s">
        <v>2520</v>
      </c>
      <c r="G3" s="163" t="s">
        <v>2825</v>
      </c>
      <c r="H3" s="163" t="s">
        <v>2851</v>
      </c>
      <c r="I3" s="163"/>
      <c r="J3" s="163"/>
      <c r="K3" s="165">
        <v>7</v>
      </c>
    </row>
    <row r="4" spans="1:11" ht="27" customHeight="1">
      <c r="A4" s="162" t="s">
        <v>1444</v>
      </c>
      <c r="B4" s="163" t="s">
        <v>2149</v>
      </c>
      <c r="C4" s="163" t="s">
        <v>2499</v>
      </c>
      <c r="D4" s="163"/>
      <c r="E4" s="163"/>
      <c r="F4" s="163" t="s">
        <v>2819</v>
      </c>
      <c r="G4" s="163" t="s">
        <v>2499</v>
      </c>
      <c r="H4" s="163" t="s">
        <v>2852</v>
      </c>
      <c r="I4" s="163"/>
      <c r="J4" s="163"/>
      <c r="K4" s="163">
        <v>8</v>
      </c>
    </row>
    <row r="5" spans="1:11" ht="27" customHeight="1">
      <c r="A5" s="162" t="s">
        <v>2118</v>
      </c>
      <c r="B5" s="163" t="s">
        <v>2826</v>
      </c>
      <c r="C5" s="163" t="s">
        <v>2824</v>
      </c>
      <c r="D5" s="163"/>
      <c r="E5" s="163"/>
      <c r="F5" s="163"/>
      <c r="G5" s="163" t="s">
        <v>2824</v>
      </c>
      <c r="H5" s="163" t="s">
        <v>2853</v>
      </c>
      <c r="I5" s="163"/>
      <c r="J5" s="163"/>
      <c r="K5" s="163">
        <v>9</v>
      </c>
    </row>
    <row r="6" spans="1:11" ht="27" customHeight="1">
      <c r="A6" s="162" t="s">
        <v>1446</v>
      </c>
      <c r="B6" s="163" t="s">
        <v>2827</v>
      </c>
      <c r="C6" s="163"/>
      <c r="D6" s="163"/>
      <c r="E6" s="163"/>
      <c r="F6" s="163"/>
      <c r="G6" s="163"/>
      <c r="H6" s="163" t="s">
        <v>2854</v>
      </c>
      <c r="I6" s="163"/>
      <c r="J6" s="163"/>
      <c r="K6" s="163">
        <v>0</v>
      </c>
    </row>
    <row r="7" spans="1:11" ht="27" customHeight="1">
      <c r="A7" s="177" t="s">
        <v>1980</v>
      </c>
      <c r="B7" s="163" t="s">
        <v>2834</v>
      </c>
      <c r="C7" s="163"/>
      <c r="D7" s="163"/>
      <c r="E7" s="163"/>
      <c r="F7" s="163"/>
      <c r="G7" s="163"/>
      <c r="H7" s="163" t="s">
        <v>2855</v>
      </c>
      <c r="I7" s="163" t="s">
        <v>2845</v>
      </c>
      <c r="J7" s="163"/>
      <c r="K7" s="174">
        <v>1</v>
      </c>
    </row>
    <row r="8" spans="1:11" ht="27" customHeight="1">
      <c r="A8" s="177" t="s">
        <v>2455</v>
      </c>
      <c r="B8" s="163" t="s">
        <v>2828</v>
      </c>
      <c r="C8" s="163" t="s">
        <v>2051</v>
      </c>
      <c r="D8" s="163"/>
      <c r="E8" s="163"/>
      <c r="F8" s="163"/>
      <c r="G8" s="163" t="s">
        <v>2051</v>
      </c>
      <c r="H8" s="163" t="s">
        <v>2856</v>
      </c>
      <c r="I8" s="163" t="s">
        <v>2846</v>
      </c>
      <c r="J8" s="163"/>
      <c r="K8" s="163">
        <v>2</v>
      </c>
    </row>
    <row r="9" spans="1:11" ht="27" customHeight="1">
      <c r="A9" s="177" t="s">
        <v>1566</v>
      </c>
      <c r="B9" s="163" t="s">
        <v>1522</v>
      </c>
      <c r="C9" s="163" t="s">
        <v>2049</v>
      </c>
      <c r="D9" s="163"/>
      <c r="E9" s="163"/>
      <c r="F9" s="163"/>
      <c r="G9" s="163" t="s">
        <v>2049</v>
      </c>
      <c r="H9" s="163" t="s">
        <v>2857</v>
      </c>
      <c r="I9" s="163" t="s">
        <v>2847</v>
      </c>
      <c r="J9" s="163"/>
      <c r="K9" s="163">
        <v>3</v>
      </c>
    </row>
    <row r="10" spans="1:11" ht="27" customHeight="1">
      <c r="A10" s="177" t="s">
        <v>1449</v>
      </c>
      <c r="B10" s="163" t="s">
        <v>2496</v>
      </c>
      <c r="C10" s="163" t="s">
        <v>2050</v>
      </c>
      <c r="D10" s="163"/>
      <c r="E10" s="163"/>
      <c r="F10" s="163"/>
      <c r="G10" s="163" t="s">
        <v>2050</v>
      </c>
      <c r="H10" s="163" t="s">
        <v>2858</v>
      </c>
      <c r="I10" s="163" t="s">
        <v>2122</v>
      </c>
      <c r="J10" s="163"/>
      <c r="K10" s="163">
        <v>4</v>
      </c>
    </row>
    <row r="11" spans="1:11" ht="27" customHeight="1">
      <c r="A11" s="177" t="s">
        <v>1448</v>
      </c>
      <c r="B11" s="163" t="s">
        <v>1527</v>
      </c>
      <c r="C11" s="163" t="s">
        <v>2822</v>
      </c>
      <c r="D11" s="163"/>
      <c r="E11" s="163"/>
      <c r="F11" s="163" t="s">
        <v>2820</v>
      </c>
      <c r="G11" s="163" t="s">
        <v>2822</v>
      </c>
      <c r="H11" s="163" t="s">
        <v>2859</v>
      </c>
      <c r="I11" s="163" t="s">
        <v>2848</v>
      </c>
      <c r="J11" s="163"/>
      <c r="K11" s="163">
        <v>5</v>
      </c>
    </row>
    <row r="12" spans="1:11" ht="27" customHeight="1">
      <c r="A12" s="162" t="s">
        <v>2457</v>
      </c>
      <c r="B12" s="163"/>
      <c r="C12" s="163"/>
      <c r="D12" s="163"/>
      <c r="E12" s="163"/>
      <c r="F12" s="163"/>
      <c r="G12" s="163"/>
      <c r="H12" s="163" t="s">
        <v>2860</v>
      </c>
      <c r="I12" s="163"/>
      <c r="J12" s="163"/>
      <c r="K12" s="163" t="s">
        <v>2832</v>
      </c>
    </row>
    <row r="13" spans="1:11" ht="27" customHeight="1">
      <c r="A13" s="162" t="s">
        <v>2458</v>
      </c>
      <c r="B13" s="163"/>
      <c r="C13" s="163"/>
      <c r="D13" s="163"/>
      <c r="E13" s="163"/>
      <c r="F13" s="163"/>
      <c r="G13" s="163"/>
      <c r="H13" s="163" t="s">
        <v>2861</v>
      </c>
      <c r="I13" s="163"/>
      <c r="J13" s="163"/>
      <c r="K13" s="163" t="s">
        <v>2833</v>
      </c>
    </row>
    <row r="14" spans="1:11" ht="27" customHeight="1">
      <c r="A14" s="162" t="s">
        <v>2459</v>
      </c>
      <c r="B14" s="163"/>
      <c r="C14" s="163"/>
      <c r="D14" s="163"/>
      <c r="E14" s="163"/>
      <c r="F14" s="163"/>
      <c r="G14" s="163"/>
      <c r="H14" s="163" t="s">
        <v>2862</v>
      </c>
      <c r="I14" s="163"/>
      <c r="J14" s="163"/>
      <c r="K14" s="163" t="s">
        <v>2840</v>
      </c>
    </row>
    <row r="15" spans="1:11" s="171" customFormat="1" ht="27" customHeight="1">
      <c r="A15" s="162" t="s">
        <v>1383</v>
      </c>
      <c r="B15" s="163"/>
      <c r="C15" s="163"/>
      <c r="D15" s="163"/>
      <c r="E15" s="163"/>
      <c r="F15" s="163"/>
      <c r="G15" s="163"/>
      <c r="H15" s="163" t="s">
        <v>2863</v>
      </c>
      <c r="I15" s="163"/>
      <c r="J15" s="163"/>
      <c r="K15" s="163" t="s">
        <v>2839</v>
      </c>
    </row>
    <row r="16" spans="1:11" ht="27" customHeight="1">
      <c r="A16" s="162" t="s">
        <v>1564</v>
      </c>
      <c r="B16" s="163"/>
      <c r="C16" s="163" t="s">
        <v>2823</v>
      </c>
      <c r="D16" s="163"/>
      <c r="E16" s="163"/>
      <c r="F16" s="163" t="s">
        <v>2821</v>
      </c>
      <c r="G16" s="163" t="s">
        <v>2823</v>
      </c>
      <c r="H16" s="163" t="s">
        <v>2864</v>
      </c>
      <c r="I16" s="163"/>
      <c r="J16" s="163"/>
      <c r="K16" s="163" t="s">
        <v>2842</v>
      </c>
    </row>
    <row r="17" spans="1:11" s="179" customFormat="1" ht="27" customHeight="1">
      <c r="A17" s="178" t="s">
        <v>899</v>
      </c>
      <c r="B17" s="178" t="s">
        <v>2455</v>
      </c>
      <c r="C17" s="178" t="s">
        <v>1566</v>
      </c>
      <c r="D17" s="178" t="s">
        <v>1449</v>
      </c>
      <c r="E17" s="178"/>
      <c r="F17" s="178"/>
      <c r="G17" s="178"/>
      <c r="H17" s="178"/>
      <c r="I17" s="178"/>
      <c r="J17" s="178"/>
      <c r="K17" s="178"/>
    </row>
    <row r="18" spans="1:11" ht="27" customHeight="1">
      <c r="A18" s="162" t="s">
        <v>1447</v>
      </c>
      <c r="B18" s="163"/>
      <c r="C18" s="163"/>
      <c r="D18" s="163" t="s">
        <v>2829</v>
      </c>
      <c r="E18" s="163"/>
      <c r="F18" s="163"/>
      <c r="G18" s="163"/>
      <c r="H18" s="163"/>
      <c r="I18" s="163"/>
      <c r="J18" s="163"/>
      <c r="K18" s="163"/>
    </row>
    <row r="19" spans="1:11" ht="27" customHeight="1">
      <c r="A19" s="162" t="s">
        <v>2485</v>
      </c>
      <c r="B19" s="163"/>
      <c r="C19" s="163"/>
      <c r="D19" s="163" t="s">
        <v>2844</v>
      </c>
      <c r="E19" s="163"/>
      <c r="F19" s="163"/>
      <c r="G19" s="163"/>
      <c r="H19" s="163"/>
      <c r="I19" s="163"/>
      <c r="J19" s="163"/>
      <c r="K19" s="163"/>
    </row>
    <row r="20" spans="1:11" ht="27" customHeight="1">
      <c r="A20" s="162" t="s">
        <v>2486</v>
      </c>
      <c r="B20" s="165"/>
      <c r="C20" s="163"/>
      <c r="D20" s="165" t="s">
        <v>2492</v>
      </c>
      <c r="E20" s="165"/>
      <c r="F20" s="163"/>
      <c r="G20" s="163"/>
      <c r="H20" s="163"/>
      <c r="I20" s="163"/>
      <c r="J20" s="163"/>
      <c r="K20" s="163"/>
    </row>
    <row r="21" spans="1:11" ht="27" customHeight="1">
      <c r="A21" s="162" t="s">
        <v>2487</v>
      </c>
      <c r="B21" s="163"/>
      <c r="C21" s="163"/>
      <c r="D21" s="163" t="s">
        <v>2841</v>
      </c>
      <c r="E21" s="163"/>
      <c r="F21" s="163"/>
      <c r="G21" s="163"/>
      <c r="H21" s="163"/>
      <c r="I21" s="163"/>
      <c r="J21" s="163"/>
      <c r="K21" s="163"/>
    </row>
    <row r="22" spans="1:11" ht="27" customHeight="1">
      <c r="A22" s="162" t="s">
        <v>2465</v>
      </c>
      <c r="B22" s="163"/>
      <c r="C22" s="163"/>
      <c r="D22" s="163" t="s">
        <v>2836</v>
      </c>
      <c r="E22" s="163"/>
      <c r="F22" s="163"/>
      <c r="G22" s="163"/>
      <c r="H22" s="165"/>
      <c r="I22" s="163"/>
      <c r="J22" s="163"/>
      <c r="K22" s="163"/>
    </row>
    <row r="23" spans="1:11" ht="27" customHeight="1">
      <c r="A23" s="177" t="s">
        <v>2456</v>
      </c>
      <c r="B23" s="163"/>
      <c r="C23" s="163"/>
      <c r="D23" s="163" t="s">
        <v>2496</v>
      </c>
      <c r="E23" s="163"/>
      <c r="F23" s="163"/>
      <c r="G23" s="163"/>
      <c r="H23" s="163"/>
      <c r="I23" s="163"/>
      <c r="J23" s="163"/>
      <c r="K23" s="163"/>
    </row>
    <row r="24" spans="1:11" ht="27" customHeight="1">
      <c r="A24" s="177" t="s">
        <v>2479</v>
      </c>
      <c r="B24" s="163"/>
      <c r="C24" s="163"/>
      <c r="D24" s="163" t="s">
        <v>2843</v>
      </c>
      <c r="E24" s="163"/>
      <c r="F24" s="163"/>
      <c r="G24" s="163"/>
      <c r="H24" s="163"/>
      <c r="I24" s="169"/>
      <c r="J24" s="165"/>
      <c r="K24" s="163"/>
    </row>
    <row r="25" spans="1:11" ht="27" customHeight="1">
      <c r="A25" s="177" t="s">
        <v>2469</v>
      </c>
      <c r="B25" s="163"/>
      <c r="C25" s="163"/>
      <c r="D25" s="163" t="s">
        <v>2838</v>
      </c>
      <c r="E25" s="163"/>
      <c r="F25" s="163"/>
      <c r="G25" s="163"/>
      <c r="H25" s="163"/>
      <c r="I25" s="163"/>
      <c r="J25" s="163"/>
      <c r="K25" s="163"/>
    </row>
    <row r="26" spans="1:11" ht="27" customHeight="1">
      <c r="A26" s="177" t="s">
        <v>2128</v>
      </c>
      <c r="B26" s="163"/>
      <c r="C26" s="163"/>
      <c r="D26" s="163" t="s">
        <v>2830</v>
      </c>
      <c r="E26" s="163"/>
      <c r="F26" s="163"/>
      <c r="G26" s="165"/>
      <c r="H26" s="163"/>
      <c r="I26" s="163"/>
      <c r="J26" s="163"/>
      <c r="K26" s="163"/>
    </row>
    <row r="27" spans="1:11" ht="27" customHeight="1">
      <c r="A27" s="177" t="s">
        <v>1350</v>
      </c>
      <c r="B27" s="163"/>
      <c r="C27" s="163"/>
      <c r="D27" s="163" t="s">
        <v>2831</v>
      </c>
      <c r="E27" s="163"/>
      <c r="F27" s="163"/>
      <c r="G27" s="163"/>
      <c r="H27" s="163"/>
      <c r="I27" s="163"/>
      <c r="J27" s="163"/>
      <c r="K27" s="163"/>
    </row>
    <row r="28" spans="1:11" ht="27" customHeight="1">
      <c r="A28" s="162" t="s">
        <v>2460</v>
      </c>
      <c r="B28" s="163"/>
      <c r="C28" s="163"/>
      <c r="D28" s="163" t="s">
        <v>2835</v>
      </c>
      <c r="E28" s="163"/>
      <c r="F28" s="163"/>
      <c r="G28" s="163"/>
      <c r="H28" s="163"/>
      <c r="I28" s="163"/>
      <c r="J28" s="163"/>
      <c r="K28" s="163"/>
    </row>
    <row r="29" spans="1:11" ht="27" customHeight="1">
      <c r="A29" s="162" t="s">
        <v>2461</v>
      </c>
      <c r="B29" s="163"/>
      <c r="C29" s="163"/>
      <c r="D29" s="163" t="s">
        <v>2837</v>
      </c>
      <c r="E29" s="163"/>
      <c r="F29" s="163"/>
      <c r="G29" s="163"/>
      <c r="H29" s="163"/>
      <c r="I29" s="163"/>
      <c r="J29" s="163"/>
      <c r="K29" s="163"/>
    </row>
  </sheetData>
  <phoneticPr fontId="2" type="noConversion"/>
  <pageMargins left="0.7" right="0.7" top="0.75" bottom="0.75" header="0.3" footer="0.3"/>
  <pageSetup paperSize="9" scale="23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74F55-2425-4DF3-9AA4-73A71A87BE20}">
  <dimension ref="A1:C156"/>
  <sheetViews>
    <sheetView zoomScale="115" zoomScaleNormal="115" workbookViewId="0">
      <selection activeCell="D10" sqref="D10"/>
    </sheetView>
  </sheetViews>
  <sheetFormatPr defaultColWidth="48.88671875" defaultRowHeight="13.8"/>
  <cols>
    <col min="2" max="2" width="58.88671875" customWidth="1"/>
    <col min="3" max="3" width="48.88671875" style="176"/>
  </cols>
  <sheetData>
    <row r="1" spans="1:3">
      <c r="A1" t="s">
        <v>2521</v>
      </c>
      <c r="B1" t="s">
        <v>2522</v>
      </c>
      <c r="C1" s="176" t="s">
        <v>2523</v>
      </c>
    </row>
    <row r="2" spans="1:3">
      <c r="A2" t="s">
        <v>2524</v>
      </c>
      <c r="B2" t="s">
        <v>2525</v>
      </c>
      <c r="C2" s="176" t="s">
        <v>2526</v>
      </c>
    </row>
    <row r="3" spans="1:3">
      <c r="A3" t="s">
        <v>2527</v>
      </c>
      <c r="B3" t="s">
        <v>2528</v>
      </c>
      <c r="C3" s="176" t="s">
        <v>2529</v>
      </c>
    </row>
    <row r="4" spans="1:3">
      <c r="A4" t="s">
        <v>2530</v>
      </c>
      <c r="B4" t="s">
        <v>2531</v>
      </c>
      <c r="C4" s="176">
        <v>7</v>
      </c>
    </row>
    <row r="5" spans="1:3">
      <c r="A5" t="s">
        <v>2532</v>
      </c>
      <c r="B5" t="s">
        <v>2533</v>
      </c>
      <c r="C5" s="176">
        <v>7</v>
      </c>
    </row>
    <row r="6" spans="1:3">
      <c r="A6" t="s">
        <v>2534</v>
      </c>
      <c r="B6" t="s">
        <v>2535</v>
      </c>
      <c r="C6" s="176">
        <v>45576</v>
      </c>
    </row>
    <row r="7" spans="1:3">
      <c r="A7" t="s">
        <v>2536</v>
      </c>
      <c r="B7" t="s">
        <v>2537</v>
      </c>
      <c r="C7" s="176" t="s">
        <v>2538</v>
      </c>
    </row>
    <row r="8" spans="1:3">
      <c r="A8" t="s">
        <v>2539</v>
      </c>
      <c r="B8" t="s">
        <v>2540</v>
      </c>
      <c r="C8" s="176">
        <v>45484</v>
      </c>
    </row>
    <row r="9" spans="1:3">
      <c r="A9" t="s">
        <v>2541</v>
      </c>
      <c r="B9" t="s">
        <v>2542</v>
      </c>
      <c r="C9" s="176" t="s">
        <v>2538</v>
      </c>
    </row>
    <row r="10" spans="1:3">
      <c r="A10" t="s">
        <v>2543</v>
      </c>
      <c r="B10" t="s">
        <v>2544</v>
      </c>
      <c r="C10" s="176">
        <v>45483</v>
      </c>
    </row>
    <row r="11" spans="1:3">
      <c r="A11" t="s">
        <v>2545</v>
      </c>
      <c r="B11" t="s">
        <v>2546</v>
      </c>
      <c r="C11" s="176">
        <v>45576</v>
      </c>
    </row>
    <row r="12" spans="1:3">
      <c r="A12" t="s">
        <v>2547</v>
      </c>
      <c r="B12" t="s">
        <v>2548</v>
      </c>
      <c r="C12" s="176">
        <v>45576</v>
      </c>
    </row>
    <row r="13" spans="1:3">
      <c r="A13" t="s">
        <v>2549</v>
      </c>
      <c r="B13" t="s">
        <v>2550</v>
      </c>
      <c r="C13" s="176">
        <v>10</v>
      </c>
    </row>
    <row r="14" spans="1:3">
      <c r="A14" t="s">
        <v>2551</v>
      </c>
      <c r="B14" t="s">
        <v>2552</v>
      </c>
      <c r="C14" s="176" t="s">
        <v>2526</v>
      </c>
    </row>
    <row r="15" spans="1:3">
      <c r="A15" t="s">
        <v>2553</v>
      </c>
      <c r="B15" t="s">
        <v>2554</v>
      </c>
      <c r="C15" s="176">
        <v>45484</v>
      </c>
    </row>
    <row r="16" spans="1:3">
      <c r="A16" t="s">
        <v>2555</v>
      </c>
      <c r="B16" t="s">
        <v>2556</v>
      </c>
      <c r="C16" s="176" t="s">
        <v>2538</v>
      </c>
    </row>
    <row r="17" spans="1:3">
      <c r="A17" t="s">
        <v>2557</v>
      </c>
      <c r="B17" t="s">
        <v>2558</v>
      </c>
      <c r="C17" s="176" t="s">
        <v>2538</v>
      </c>
    </row>
    <row r="18" spans="1:3">
      <c r="B18" t="s">
        <v>2559</v>
      </c>
    </row>
    <row r="19" spans="1:3">
      <c r="A19" t="s">
        <v>2560</v>
      </c>
      <c r="B19" t="s">
        <v>2561</v>
      </c>
      <c r="C19" s="176">
        <v>45484</v>
      </c>
    </row>
    <row r="20" spans="1:3">
      <c r="A20" t="s">
        <v>2562</v>
      </c>
      <c r="B20" t="s">
        <v>2563</v>
      </c>
      <c r="C20" s="176">
        <v>45484</v>
      </c>
    </row>
    <row r="21" spans="1:3">
      <c r="A21" t="s">
        <v>2564</v>
      </c>
      <c r="B21" t="s">
        <v>2565</v>
      </c>
      <c r="C21" s="176" t="s">
        <v>2529</v>
      </c>
    </row>
    <row r="22" spans="1:3">
      <c r="A22" t="s">
        <v>2566</v>
      </c>
      <c r="B22" t="s">
        <v>2567</v>
      </c>
      <c r="C22" s="176" t="s">
        <v>2568</v>
      </c>
    </row>
    <row r="23" spans="1:3">
      <c r="A23" t="s">
        <v>2569</v>
      </c>
      <c r="B23" t="s">
        <v>2570</v>
      </c>
      <c r="C23" s="176" t="s">
        <v>2526</v>
      </c>
    </row>
    <row r="24" spans="1:3">
      <c r="A24" t="s">
        <v>2571</v>
      </c>
      <c r="B24" t="s">
        <v>2572</v>
      </c>
      <c r="C24" s="176" t="s">
        <v>2526</v>
      </c>
    </row>
    <row r="25" spans="1:3">
      <c r="B25" t="s">
        <v>2573</v>
      </c>
    </row>
    <row r="26" spans="1:3">
      <c r="B26" t="s">
        <v>2574</v>
      </c>
    </row>
    <row r="27" spans="1:3">
      <c r="A27" t="s">
        <v>2575</v>
      </c>
      <c r="B27" t="s">
        <v>2576</v>
      </c>
      <c r="C27" s="176" t="s">
        <v>2526</v>
      </c>
    </row>
    <row r="28" spans="1:3">
      <c r="B28" t="s">
        <v>2577</v>
      </c>
    </row>
    <row r="29" spans="1:3">
      <c r="A29" t="s">
        <v>2578</v>
      </c>
      <c r="B29" t="s">
        <v>2579</v>
      </c>
      <c r="C29" s="176" t="s">
        <v>2526</v>
      </c>
    </row>
    <row r="30" spans="1:3">
      <c r="A30" t="s">
        <v>2580</v>
      </c>
      <c r="B30" t="s">
        <v>2581</v>
      </c>
      <c r="C30" s="176" t="s">
        <v>2538</v>
      </c>
    </row>
    <row r="31" spans="1:3">
      <c r="B31" t="s">
        <v>2582</v>
      </c>
    </row>
    <row r="32" spans="1:3">
      <c r="A32" t="s">
        <v>2583</v>
      </c>
      <c r="B32" t="s">
        <v>2584</v>
      </c>
      <c r="C32" s="176">
        <v>45484</v>
      </c>
    </row>
    <row r="33" spans="1:3">
      <c r="A33" t="s">
        <v>2585</v>
      </c>
      <c r="B33" t="s">
        <v>2586</v>
      </c>
      <c r="C33" s="176">
        <v>45576</v>
      </c>
    </row>
    <row r="34" spans="1:3">
      <c r="A34" t="s">
        <v>2587</v>
      </c>
      <c r="B34" t="s">
        <v>2588</v>
      </c>
      <c r="C34" s="176" t="s">
        <v>2589</v>
      </c>
    </row>
    <row r="35" spans="1:3">
      <c r="A35" t="s">
        <v>2590</v>
      </c>
      <c r="B35" t="s">
        <v>2591</v>
      </c>
      <c r="C35" s="176" t="s">
        <v>2526</v>
      </c>
    </row>
    <row r="36" spans="1:3">
      <c r="A36" t="s">
        <v>2592</v>
      </c>
      <c r="B36" t="s">
        <v>2593</v>
      </c>
      <c r="C36" s="176" t="s">
        <v>2526</v>
      </c>
    </row>
    <row r="37" spans="1:3">
      <c r="A37" t="s">
        <v>2594</v>
      </c>
      <c r="B37" t="s">
        <v>2595</v>
      </c>
      <c r="C37" s="176" t="s">
        <v>2526</v>
      </c>
    </row>
    <row r="38" spans="1:3">
      <c r="A38" t="s">
        <v>2596</v>
      </c>
      <c r="B38" t="s">
        <v>2597</v>
      </c>
      <c r="C38" s="176">
        <v>45515</v>
      </c>
    </row>
    <row r="39" spans="1:3">
      <c r="A39" t="s">
        <v>2598</v>
      </c>
      <c r="B39" t="s">
        <v>2599</v>
      </c>
      <c r="C39" s="176" t="s">
        <v>2538</v>
      </c>
    </row>
    <row r="40" spans="1:3">
      <c r="A40" t="s">
        <v>2600</v>
      </c>
      <c r="B40" t="s">
        <v>2601</v>
      </c>
      <c r="C40" s="176" t="s">
        <v>2538</v>
      </c>
    </row>
    <row r="41" spans="1:3">
      <c r="A41" t="s">
        <v>2602</v>
      </c>
      <c r="B41" t="s">
        <v>2603</v>
      </c>
      <c r="C41" s="176">
        <v>45515</v>
      </c>
    </row>
    <row r="42" spans="1:3">
      <c r="A42" t="s">
        <v>2604</v>
      </c>
      <c r="B42" t="s">
        <v>2605</v>
      </c>
      <c r="C42" s="176" t="s">
        <v>2538</v>
      </c>
    </row>
    <row r="43" spans="1:3">
      <c r="A43" t="s">
        <v>2606</v>
      </c>
      <c r="B43" t="s">
        <v>2607</v>
      </c>
      <c r="C43" s="176" t="s">
        <v>2538</v>
      </c>
    </row>
    <row r="44" spans="1:3">
      <c r="A44" t="s">
        <v>2608</v>
      </c>
      <c r="B44" t="s">
        <v>2609</v>
      </c>
      <c r="C44" s="176" t="s">
        <v>2538</v>
      </c>
    </row>
    <row r="45" spans="1:3">
      <c r="A45" t="s">
        <v>2610</v>
      </c>
      <c r="B45" t="s">
        <v>2611</v>
      </c>
      <c r="C45" s="176" t="s">
        <v>2538</v>
      </c>
    </row>
    <row r="46" spans="1:3">
      <c r="A46" t="s">
        <v>2612</v>
      </c>
      <c r="B46" t="s">
        <v>2613</v>
      </c>
      <c r="C46" s="176">
        <v>45484</v>
      </c>
    </row>
    <row r="47" spans="1:3">
      <c r="A47" t="s">
        <v>2614</v>
      </c>
      <c r="B47" t="s">
        <v>2615</v>
      </c>
      <c r="C47" s="176">
        <v>45484</v>
      </c>
    </row>
    <row r="48" spans="1:3">
      <c r="A48" t="s">
        <v>2616</v>
      </c>
      <c r="B48" t="s">
        <v>2617</v>
      </c>
      <c r="C48" s="176" t="s">
        <v>2618</v>
      </c>
    </row>
    <row r="49" spans="1:3">
      <c r="A49" t="s">
        <v>2619</v>
      </c>
      <c r="B49" t="s">
        <v>2546</v>
      </c>
      <c r="C49" s="176">
        <v>45515</v>
      </c>
    </row>
    <row r="50" spans="1:3">
      <c r="A50" t="s">
        <v>2620</v>
      </c>
      <c r="B50" t="s">
        <v>2621</v>
      </c>
      <c r="C50" s="176" t="s">
        <v>2618</v>
      </c>
    </row>
    <row r="51" spans="1:3">
      <c r="B51" t="s">
        <v>2622</v>
      </c>
    </row>
    <row r="52" spans="1:3">
      <c r="A52" t="s">
        <v>2623</v>
      </c>
      <c r="B52" t="s">
        <v>2624</v>
      </c>
      <c r="C52" s="176" t="s">
        <v>2618</v>
      </c>
    </row>
    <row r="53" spans="1:3">
      <c r="A53" t="s">
        <v>2625</v>
      </c>
      <c r="B53" t="s">
        <v>2626</v>
      </c>
      <c r="C53" s="176">
        <v>45576</v>
      </c>
    </row>
    <row r="54" spans="1:3">
      <c r="A54" t="s">
        <v>2627</v>
      </c>
      <c r="B54" t="s">
        <v>2586</v>
      </c>
      <c r="C54" s="176">
        <v>45515</v>
      </c>
    </row>
    <row r="55" spans="1:3">
      <c r="A55" t="s">
        <v>2628</v>
      </c>
      <c r="B55" t="s">
        <v>2561</v>
      </c>
      <c r="C55" s="176">
        <v>45576</v>
      </c>
    </row>
    <row r="56" spans="1:3">
      <c r="A56" t="s">
        <v>2629</v>
      </c>
      <c r="B56" t="s">
        <v>2630</v>
      </c>
      <c r="C56" s="176" t="s">
        <v>2631</v>
      </c>
    </row>
    <row r="57" spans="1:3">
      <c r="A57" t="s">
        <v>2632</v>
      </c>
      <c r="B57" t="s">
        <v>2633</v>
      </c>
      <c r="C57" s="176" t="s">
        <v>2631</v>
      </c>
    </row>
    <row r="58" spans="1:3">
      <c r="A58" t="s">
        <v>2634</v>
      </c>
      <c r="B58" t="s">
        <v>2635</v>
      </c>
      <c r="C58" s="176">
        <v>45484</v>
      </c>
    </row>
    <row r="59" spans="1:3">
      <c r="A59" t="s">
        <v>2636</v>
      </c>
      <c r="B59" t="s">
        <v>2637</v>
      </c>
      <c r="C59" s="176">
        <v>45515</v>
      </c>
    </row>
    <row r="60" spans="1:3">
      <c r="A60" t="s">
        <v>2638</v>
      </c>
      <c r="B60" t="s">
        <v>2639</v>
      </c>
      <c r="C60" s="176" t="s">
        <v>2538</v>
      </c>
    </row>
    <row r="61" spans="1:3">
      <c r="A61" t="s">
        <v>2640</v>
      </c>
      <c r="B61" t="s">
        <v>2641</v>
      </c>
      <c r="C61" s="176" t="s">
        <v>2538</v>
      </c>
    </row>
    <row r="62" spans="1:3">
      <c r="A62" t="s">
        <v>2642</v>
      </c>
      <c r="B62" t="s">
        <v>2643</v>
      </c>
      <c r="C62" s="176" t="s">
        <v>2526</v>
      </c>
    </row>
    <row r="63" spans="1:3">
      <c r="A63" t="s">
        <v>2644</v>
      </c>
      <c r="B63" t="s">
        <v>2645</v>
      </c>
      <c r="C63" s="176" t="s">
        <v>2646</v>
      </c>
    </row>
    <row r="64" spans="1:3">
      <c r="A64" t="s">
        <v>2647</v>
      </c>
      <c r="B64" t="s">
        <v>2648</v>
      </c>
      <c r="C64" s="176" t="s">
        <v>2568</v>
      </c>
    </row>
    <row r="65" spans="1:3">
      <c r="A65" t="s">
        <v>2649</v>
      </c>
      <c r="B65" t="s">
        <v>2650</v>
      </c>
      <c r="C65" s="176" t="s">
        <v>2538</v>
      </c>
    </row>
    <row r="66" spans="1:3">
      <c r="A66" t="s">
        <v>2651</v>
      </c>
      <c r="B66" t="s">
        <v>2652</v>
      </c>
      <c r="C66" s="176" t="s">
        <v>2538</v>
      </c>
    </row>
    <row r="67" spans="1:3">
      <c r="A67" t="s">
        <v>2653</v>
      </c>
      <c r="B67" t="s">
        <v>2654</v>
      </c>
      <c r="C67" s="176" t="s">
        <v>2538</v>
      </c>
    </row>
    <row r="68" spans="1:3">
      <c r="A68" t="s">
        <v>2655</v>
      </c>
      <c r="B68" t="s">
        <v>2656</v>
      </c>
      <c r="C68" s="176" t="s">
        <v>2538</v>
      </c>
    </row>
    <row r="69" spans="1:3">
      <c r="A69" t="s">
        <v>2657</v>
      </c>
      <c r="B69" t="s">
        <v>2658</v>
      </c>
      <c r="C69" s="176" t="s">
        <v>2538</v>
      </c>
    </row>
    <row r="70" spans="1:3">
      <c r="A70" t="s">
        <v>2659</v>
      </c>
      <c r="B70" t="s">
        <v>2660</v>
      </c>
      <c r="C70" s="176">
        <v>45484</v>
      </c>
    </row>
    <row r="71" spans="1:3">
      <c r="A71" t="s">
        <v>2818</v>
      </c>
      <c r="B71" t="s">
        <v>2661</v>
      </c>
      <c r="C71" s="176" t="s">
        <v>2526</v>
      </c>
    </row>
    <row r="72" spans="1:3">
      <c r="A72" t="s">
        <v>2662</v>
      </c>
      <c r="B72" t="s">
        <v>2663</v>
      </c>
      <c r="C72" s="176" t="s">
        <v>2631</v>
      </c>
    </row>
    <row r="73" spans="1:3">
      <c r="A73" t="s">
        <v>2664</v>
      </c>
      <c r="B73" t="s">
        <v>2665</v>
      </c>
      <c r="C73" s="176">
        <v>45576</v>
      </c>
    </row>
    <row r="74" spans="1:3">
      <c r="A74" t="s">
        <v>2666</v>
      </c>
      <c r="B74" t="s">
        <v>2667</v>
      </c>
      <c r="C74" s="176">
        <v>45484</v>
      </c>
    </row>
    <row r="75" spans="1:3">
      <c r="A75" t="s">
        <v>2668</v>
      </c>
      <c r="B75" t="s">
        <v>2669</v>
      </c>
      <c r="C75" s="176">
        <v>45484</v>
      </c>
    </row>
    <row r="76" spans="1:3">
      <c r="A76" t="s">
        <v>2670</v>
      </c>
      <c r="B76" t="s">
        <v>2671</v>
      </c>
      <c r="C76" s="176" t="s">
        <v>2526</v>
      </c>
    </row>
    <row r="77" spans="1:3">
      <c r="A77" t="s">
        <v>2672</v>
      </c>
      <c r="B77" t="s">
        <v>2673</v>
      </c>
      <c r="C77" s="176" t="s">
        <v>2526</v>
      </c>
    </row>
    <row r="78" spans="1:3">
      <c r="A78" t="s">
        <v>2674</v>
      </c>
      <c r="B78" t="s">
        <v>2675</v>
      </c>
      <c r="C78" s="176">
        <v>45484</v>
      </c>
    </row>
    <row r="79" spans="1:3">
      <c r="A79" t="s">
        <v>2676</v>
      </c>
      <c r="B79" t="s">
        <v>2677</v>
      </c>
      <c r="C79" s="176" t="s">
        <v>2538</v>
      </c>
    </row>
    <row r="80" spans="1:3">
      <c r="A80" t="s">
        <v>2678</v>
      </c>
      <c r="B80" t="s">
        <v>2679</v>
      </c>
      <c r="C80" s="176" t="s">
        <v>2568</v>
      </c>
    </row>
    <row r="81" spans="1:3">
      <c r="A81" t="s">
        <v>2680</v>
      </c>
      <c r="B81" t="s">
        <v>2681</v>
      </c>
      <c r="C81" s="176" t="s">
        <v>2568</v>
      </c>
    </row>
    <row r="82" spans="1:3">
      <c r="A82" t="s">
        <v>2682</v>
      </c>
      <c r="B82" t="s">
        <v>2683</v>
      </c>
      <c r="C82" s="176" t="s">
        <v>2526</v>
      </c>
    </row>
    <row r="83" spans="1:3">
      <c r="A83" t="s">
        <v>2684</v>
      </c>
      <c r="B83" t="s">
        <v>2685</v>
      </c>
      <c r="C83" s="176" t="s">
        <v>2538</v>
      </c>
    </row>
    <row r="84" spans="1:3">
      <c r="A84" t="s">
        <v>2686</v>
      </c>
      <c r="B84" t="s">
        <v>2687</v>
      </c>
      <c r="C84" s="176" t="s">
        <v>2529</v>
      </c>
    </row>
    <row r="85" spans="1:3">
      <c r="A85" t="s">
        <v>2688</v>
      </c>
      <c r="B85" t="s">
        <v>2689</v>
      </c>
      <c r="C85" s="176" t="s">
        <v>2690</v>
      </c>
    </row>
    <row r="86" spans="1:3">
      <c r="A86" t="s">
        <v>2691</v>
      </c>
      <c r="B86" t="s">
        <v>2692</v>
      </c>
      <c r="C86" s="176">
        <v>45483</v>
      </c>
    </row>
    <row r="87" spans="1:3">
      <c r="A87" t="s">
        <v>2693</v>
      </c>
      <c r="B87" t="s">
        <v>2694</v>
      </c>
      <c r="C87" s="176" t="s">
        <v>2529</v>
      </c>
    </row>
    <row r="88" spans="1:3">
      <c r="A88" t="s">
        <v>2695</v>
      </c>
      <c r="B88" t="s">
        <v>2696</v>
      </c>
      <c r="C88" s="176">
        <v>45484</v>
      </c>
    </row>
    <row r="89" spans="1:3">
      <c r="A89" t="s">
        <v>2697</v>
      </c>
      <c r="B89" t="s">
        <v>2698</v>
      </c>
      <c r="C89" s="176" t="s">
        <v>2589</v>
      </c>
    </row>
    <row r="90" spans="1:3">
      <c r="A90" t="s">
        <v>2699</v>
      </c>
      <c r="B90" t="s">
        <v>2700</v>
      </c>
      <c r="C90" s="176">
        <v>45484</v>
      </c>
    </row>
    <row r="91" spans="1:3">
      <c r="A91" t="s">
        <v>2701</v>
      </c>
      <c r="B91" t="s">
        <v>2702</v>
      </c>
      <c r="C91" s="176" t="s">
        <v>2538</v>
      </c>
    </row>
    <row r="92" spans="1:3">
      <c r="A92" t="s">
        <v>2703</v>
      </c>
      <c r="B92" t="s">
        <v>2704</v>
      </c>
      <c r="C92" s="176">
        <v>45484</v>
      </c>
    </row>
    <row r="93" spans="1:3">
      <c r="A93" t="s">
        <v>2705</v>
      </c>
      <c r="B93" t="s">
        <v>2706</v>
      </c>
      <c r="C93" s="176" t="s">
        <v>2631</v>
      </c>
    </row>
    <row r="94" spans="1:3">
      <c r="A94" t="s">
        <v>2707</v>
      </c>
      <c r="B94" t="s">
        <v>2708</v>
      </c>
      <c r="C94" s="176">
        <v>45481</v>
      </c>
    </row>
    <row r="95" spans="1:3">
      <c r="A95" t="s">
        <v>2709</v>
      </c>
      <c r="B95" t="s">
        <v>2673</v>
      </c>
      <c r="C95" s="176" t="s">
        <v>2526</v>
      </c>
    </row>
    <row r="96" spans="1:3">
      <c r="A96" t="s">
        <v>2710</v>
      </c>
      <c r="B96" t="s">
        <v>2711</v>
      </c>
      <c r="C96" s="176" t="s">
        <v>2538</v>
      </c>
    </row>
    <row r="97" spans="1:3">
      <c r="A97" t="s">
        <v>2712</v>
      </c>
      <c r="B97" t="s">
        <v>2713</v>
      </c>
      <c r="C97" s="176" t="s">
        <v>2538</v>
      </c>
    </row>
    <row r="98" spans="1:3">
      <c r="A98" t="s">
        <v>2714</v>
      </c>
      <c r="B98" t="s">
        <v>2715</v>
      </c>
      <c r="C98" s="176">
        <v>45483</v>
      </c>
    </row>
    <row r="99" spans="1:3">
      <c r="A99" t="s">
        <v>2716</v>
      </c>
      <c r="B99" t="s">
        <v>2717</v>
      </c>
      <c r="C99" s="176">
        <v>45483</v>
      </c>
    </row>
    <row r="100" spans="1:3">
      <c r="A100" t="s">
        <v>2718</v>
      </c>
      <c r="B100" t="s">
        <v>2719</v>
      </c>
      <c r="C100" s="176">
        <v>45515</v>
      </c>
    </row>
    <row r="101" spans="1:3">
      <c r="A101" t="s">
        <v>2720</v>
      </c>
      <c r="B101" t="s">
        <v>2721</v>
      </c>
      <c r="C101" s="176" t="s">
        <v>2538</v>
      </c>
    </row>
    <row r="102" spans="1:3">
      <c r="A102" t="s">
        <v>2722</v>
      </c>
      <c r="B102" t="s">
        <v>2723</v>
      </c>
      <c r="C102" s="176">
        <v>45484</v>
      </c>
    </row>
    <row r="103" spans="1:3">
      <c r="A103" t="s">
        <v>2724</v>
      </c>
      <c r="B103" t="s">
        <v>2725</v>
      </c>
      <c r="C103" s="176">
        <v>45515</v>
      </c>
    </row>
    <row r="104" spans="1:3">
      <c r="A104" t="s">
        <v>2726</v>
      </c>
      <c r="B104" t="s">
        <v>2727</v>
      </c>
      <c r="C104" s="176">
        <v>45484</v>
      </c>
    </row>
    <row r="105" spans="1:3">
      <c r="A105" t="s">
        <v>2728</v>
      </c>
      <c r="B105" t="s">
        <v>2729</v>
      </c>
      <c r="C105" s="176">
        <v>45515</v>
      </c>
    </row>
    <row r="106" spans="1:3">
      <c r="A106" t="s">
        <v>2730</v>
      </c>
      <c r="B106" t="s">
        <v>2731</v>
      </c>
      <c r="C106" s="176" t="s">
        <v>2589</v>
      </c>
    </row>
    <row r="107" spans="1:3">
      <c r="A107" t="s">
        <v>2732</v>
      </c>
      <c r="B107" t="s">
        <v>2733</v>
      </c>
      <c r="C107" s="176" t="s">
        <v>2631</v>
      </c>
    </row>
    <row r="108" spans="1:3">
      <c r="A108" t="s">
        <v>2734</v>
      </c>
      <c r="B108" t="s">
        <v>2735</v>
      </c>
      <c r="C108" s="176" t="s">
        <v>2538</v>
      </c>
    </row>
    <row r="109" spans="1:3">
      <c r="A109" t="s">
        <v>2736</v>
      </c>
      <c r="B109" t="s">
        <v>2737</v>
      </c>
      <c r="C109" s="176">
        <v>45515</v>
      </c>
    </row>
    <row r="110" spans="1:3">
      <c r="A110" t="s">
        <v>2738</v>
      </c>
      <c r="B110" t="s">
        <v>2739</v>
      </c>
      <c r="C110" s="176">
        <v>45484</v>
      </c>
    </row>
    <row r="111" spans="1:3">
      <c r="B111" t="s">
        <v>2740</v>
      </c>
    </row>
    <row r="112" spans="1:3">
      <c r="A112" t="s">
        <v>2741</v>
      </c>
      <c r="B112" t="s">
        <v>2742</v>
      </c>
      <c r="C112" s="176" t="s">
        <v>2568</v>
      </c>
    </row>
    <row r="113" spans="1:3">
      <c r="A113" t="s">
        <v>2743</v>
      </c>
      <c r="B113" t="s">
        <v>1879</v>
      </c>
      <c r="C113" s="176" t="s">
        <v>2538</v>
      </c>
    </row>
    <row r="114" spans="1:3">
      <c r="A114" t="s">
        <v>2744</v>
      </c>
      <c r="B114" t="s">
        <v>2745</v>
      </c>
      <c r="C114" s="176">
        <v>45484</v>
      </c>
    </row>
    <row r="115" spans="1:3">
      <c r="B115" t="s">
        <v>2746</v>
      </c>
    </row>
    <row r="116" spans="1:3">
      <c r="B116" t="s">
        <v>2747</v>
      </c>
    </row>
    <row r="117" spans="1:3">
      <c r="A117" t="s">
        <v>2748</v>
      </c>
      <c r="B117" t="s">
        <v>2749</v>
      </c>
      <c r="C117" s="176" t="s">
        <v>2526</v>
      </c>
    </row>
    <row r="118" spans="1:3">
      <c r="A118" t="s">
        <v>2750</v>
      </c>
      <c r="B118" t="s">
        <v>2751</v>
      </c>
      <c r="C118" s="176" t="s">
        <v>2529</v>
      </c>
    </row>
    <row r="119" spans="1:3">
      <c r="A119" t="s">
        <v>2752</v>
      </c>
      <c r="B119" t="s">
        <v>2753</v>
      </c>
      <c r="C119" s="176" t="s">
        <v>2618</v>
      </c>
    </row>
    <row r="120" spans="1:3">
      <c r="A120" t="s">
        <v>2754</v>
      </c>
      <c r="B120" t="s">
        <v>2755</v>
      </c>
      <c r="C120" s="176">
        <v>45481</v>
      </c>
    </row>
    <row r="121" spans="1:3">
      <c r="A121" t="s">
        <v>2756</v>
      </c>
      <c r="B121" t="s">
        <v>2757</v>
      </c>
      <c r="C121" s="176">
        <v>45483</v>
      </c>
    </row>
    <row r="122" spans="1:3">
      <c r="A122" t="s">
        <v>2758</v>
      </c>
      <c r="B122" t="s">
        <v>2759</v>
      </c>
      <c r="C122" s="176" t="s">
        <v>2568</v>
      </c>
    </row>
    <row r="123" spans="1:3">
      <c r="B123" t="s">
        <v>2760</v>
      </c>
    </row>
    <row r="124" spans="1:3">
      <c r="A124" t="s">
        <v>2761</v>
      </c>
      <c r="B124" t="s">
        <v>2762</v>
      </c>
      <c r="C124" s="176">
        <v>45484</v>
      </c>
    </row>
    <row r="125" spans="1:3">
      <c r="A125" t="s">
        <v>2763</v>
      </c>
      <c r="B125" t="s">
        <v>2749</v>
      </c>
      <c r="C125" s="176" t="s">
        <v>2646</v>
      </c>
    </row>
    <row r="126" spans="1:3">
      <c r="A126" t="s">
        <v>2764</v>
      </c>
      <c r="B126" t="s">
        <v>2765</v>
      </c>
      <c r="C126" s="176" t="s">
        <v>2526</v>
      </c>
    </row>
    <row r="127" spans="1:3">
      <c r="B127" t="s">
        <v>2766</v>
      </c>
    </row>
    <row r="128" spans="1:3">
      <c r="A128" t="s">
        <v>2767</v>
      </c>
      <c r="B128" t="s">
        <v>2729</v>
      </c>
      <c r="C128" s="176">
        <v>45576</v>
      </c>
    </row>
    <row r="129" spans="1:3">
      <c r="A129" t="s">
        <v>2768</v>
      </c>
      <c r="B129" t="s">
        <v>2769</v>
      </c>
      <c r="C129" s="176" t="s">
        <v>2538</v>
      </c>
    </row>
    <row r="130" spans="1:3">
      <c r="A130" t="s">
        <v>2770</v>
      </c>
      <c r="B130" t="s">
        <v>2771</v>
      </c>
      <c r="C130" s="176" t="s">
        <v>2526</v>
      </c>
    </row>
    <row r="131" spans="1:3">
      <c r="A131" t="s">
        <v>2772</v>
      </c>
      <c r="B131" t="s">
        <v>2773</v>
      </c>
      <c r="C131" s="176" t="s">
        <v>2538</v>
      </c>
    </row>
    <row r="132" spans="1:3">
      <c r="A132" t="s">
        <v>2774</v>
      </c>
      <c r="B132" t="s">
        <v>2775</v>
      </c>
      <c r="C132" s="176" t="s">
        <v>2538</v>
      </c>
    </row>
    <row r="133" spans="1:3">
      <c r="A133" t="s">
        <v>2776</v>
      </c>
      <c r="B133" t="s">
        <v>2777</v>
      </c>
      <c r="C133" s="176" t="s">
        <v>2529</v>
      </c>
    </row>
    <row r="134" spans="1:3">
      <c r="A134" t="s">
        <v>2778</v>
      </c>
      <c r="B134" t="s">
        <v>2779</v>
      </c>
      <c r="C134" s="176" t="s">
        <v>2618</v>
      </c>
    </row>
    <row r="135" spans="1:3">
      <c r="A135" t="s">
        <v>2780</v>
      </c>
      <c r="B135" t="s">
        <v>2781</v>
      </c>
      <c r="C135" s="176" t="s">
        <v>2631</v>
      </c>
    </row>
    <row r="136" spans="1:3">
      <c r="A136" t="s">
        <v>2782</v>
      </c>
      <c r="B136" t="s">
        <v>2783</v>
      </c>
      <c r="C136" s="176" t="s">
        <v>2529</v>
      </c>
    </row>
    <row r="137" spans="1:3">
      <c r="A137" t="s">
        <v>2784</v>
      </c>
      <c r="B137" t="s">
        <v>2785</v>
      </c>
      <c r="C137" s="176">
        <v>45484</v>
      </c>
    </row>
    <row r="138" spans="1:3">
      <c r="A138" t="s">
        <v>2786</v>
      </c>
      <c r="B138" t="s">
        <v>2558</v>
      </c>
      <c r="C138" s="176" t="s">
        <v>2538</v>
      </c>
    </row>
    <row r="139" spans="1:3">
      <c r="B139" t="s">
        <v>2559</v>
      </c>
    </row>
    <row r="140" spans="1:3">
      <c r="A140" t="s">
        <v>2787</v>
      </c>
      <c r="B140" t="s">
        <v>2788</v>
      </c>
      <c r="C140" s="176" t="s">
        <v>2568</v>
      </c>
    </row>
    <row r="141" spans="1:3">
      <c r="A141" t="s">
        <v>2789</v>
      </c>
      <c r="B141" t="s">
        <v>2790</v>
      </c>
      <c r="C141" s="176" t="s">
        <v>2568</v>
      </c>
    </row>
    <row r="142" spans="1:3">
      <c r="A142" t="s">
        <v>2791</v>
      </c>
      <c r="B142" t="s">
        <v>2792</v>
      </c>
      <c r="C142" s="176">
        <v>45483</v>
      </c>
    </row>
    <row r="143" spans="1:3">
      <c r="B143" t="s">
        <v>2793</v>
      </c>
    </row>
    <row r="144" spans="1:3">
      <c r="A144" t="s">
        <v>2794</v>
      </c>
      <c r="B144" t="s">
        <v>2795</v>
      </c>
      <c r="C144" s="176">
        <v>45514</v>
      </c>
    </row>
    <row r="145" spans="1:3">
      <c r="A145" t="s">
        <v>2796</v>
      </c>
      <c r="B145" t="s">
        <v>2797</v>
      </c>
      <c r="C145" s="176" t="s">
        <v>2631</v>
      </c>
    </row>
    <row r="146" spans="1:3">
      <c r="A146" t="s">
        <v>2798</v>
      </c>
      <c r="B146" t="s">
        <v>2799</v>
      </c>
      <c r="C146" s="176" t="s">
        <v>2631</v>
      </c>
    </row>
    <row r="147" spans="1:3">
      <c r="A147" t="s">
        <v>2800</v>
      </c>
      <c r="B147" t="s">
        <v>2801</v>
      </c>
      <c r="C147" s="176" t="s">
        <v>2538</v>
      </c>
    </row>
    <row r="148" spans="1:3">
      <c r="A148" t="s">
        <v>2802</v>
      </c>
      <c r="B148" t="s">
        <v>2803</v>
      </c>
      <c r="C148" s="176" t="s">
        <v>2631</v>
      </c>
    </row>
    <row r="149" spans="1:3">
      <c r="A149" t="s">
        <v>2804</v>
      </c>
      <c r="B149" t="s">
        <v>2805</v>
      </c>
      <c r="C149" s="176" t="s">
        <v>2538</v>
      </c>
    </row>
    <row r="150" spans="1:3">
      <c r="A150" t="s">
        <v>2806</v>
      </c>
      <c r="B150" t="s">
        <v>2807</v>
      </c>
      <c r="C150" s="176">
        <v>45484</v>
      </c>
    </row>
    <row r="151" spans="1:3">
      <c r="A151" t="s">
        <v>2808</v>
      </c>
      <c r="B151" t="s">
        <v>2809</v>
      </c>
      <c r="C151" s="176">
        <v>45514</v>
      </c>
    </row>
    <row r="152" spans="1:3">
      <c r="A152" t="s">
        <v>2810</v>
      </c>
      <c r="B152" t="s">
        <v>2811</v>
      </c>
      <c r="C152" s="176">
        <v>45483</v>
      </c>
    </row>
    <row r="153" spans="1:3">
      <c r="A153" t="s">
        <v>2812</v>
      </c>
      <c r="B153" t="s">
        <v>2719</v>
      </c>
      <c r="C153" s="176">
        <v>45576</v>
      </c>
    </row>
    <row r="154" spans="1:3">
      <c r="A154" t="s">
        <v>2813</v>
      </c>
      <c r="B154" t="s">
        <v>2814</v>
      </c>
      <c r="C154" s="176">
        <v>45484</v>
      </c>
    </row>
    <row r="155" spans="1:3">
      <c r="A155" t="s">
        <v>2815</v>
      </c>
      <c r="B155" t="s">
        <v>2816</v>
      </c>
      <c r="C155" s="176">
        <v>45514</v>
      </c>
    </row>
    <row r="156" spans="1:3">
      <c r="A156" t="s">
        <v>2817</v>
      </c>
      <c r="B156" t="s">
        <v>1902</v>
      </c>
      <c r="C156" s="176" t="s">
        <v>2529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DDBA-8192-4167-B710-E96B6DD374CE}">
  <dimension ref="A1:W57"/>
  <sheetViews>
    <sheetView showGridLines="0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2" sqref="E62"/>
    </sheetView>
  </sheetViews>
  <sheetFormatPr defaultColWidth="18.109375" defaultRowHeight="27" customHeight="1"/>
  <cols>
    <col min="1" max="1" width="5.44140625" style="171" customWidth="1"/>
    <col min="2" max="3" width="26.88671875" style="164" customWidth="1"/>
    <col min="4" max="4" width="51.6640625" style="164" customWidth="1"/>
    <col min="5" max="7" width="30.77734375" style="164" customWidth="1"/>
    <col min="8" max="8" width="28.77734375" style="164" customWidth="1"/>
    <col min="9" max="9" width="27" style="164" customWidth="1"/>
    <col min="10" max="18" width="21.33203125" style="164" customWidth="1"/>
    <col min="19" max="16384" width="18.109375" style="164"/>
  </cols>
  <sheetData>
    <row r="1" spans="1:23" s="161" customFormat="1" ht="27" customHeight="1">
      <c r="A1" s="159" t="s">
        <v>899</v>
      </c>
      <c r="B1" s="160" t="s">
        <v>2464</v>
      </c>
      <c r="C1" s="160" t="s">
        <v>2503</v>
      </c>
      <c r="D1" s="160" t="s">
        <v>2464</v>
      </c>
      <c r="E1" s="160" t="s">
        <v>1373</v>
      </c>
      <c r="F1" s="160" t="s">
        <v>2504</v>
      </c>
      <c r="G1" s="160" t="s">
        <v>2500</v>
      </c>
      <c r="H1" s="160" t="s">
        <v>2462</v>
      </c>
      <c r="I1" s="160" t="s">
        <v>27</v>
      </c>
      <c r="J1" s="160" t="s">
        <v>2463</v>
      </c>
      <c r="K1" s="160" t="s">
        <v>27</v>
      </c>
      <c r="L1" s="160" t="s">
        <v>1980</v>
      </c>
      <c r="M1" s="160" t="s">
        <v>26</v>
      </c>
      <c r="N1" s="160" t="s">
        <v>2466</v>
      </c>
      <c r="O1" s="160" t="s">
        <v>2467</v>
      </c>
      <c r="P1" s="160" t="s">
        <v>2468</v>
      </c>
      <c r="Q1" s="160" t="s">
        <v>27</v>
      </c>
      <c r="R1" s="160" t="s">
        <v>26</v>
      </c>
    </row>
    <row r="2" spans="1:23" ht="27" customHeight="1">
      <c r="A2" s="162">
        <v>1</v>
      </c>
      <c r="B2" s="163">
        <v>1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</row>
    <row r="3" spans="1:23" ht="27" customHeight="1">
      <c r="A3" s="162">
        <v>2</v>
      </c>
      <c r="B3" s="163">
        <v>2</v>
      </c>
      <c r="C3" s="163"/>
      <c r="D3" s="163"/>
      <c r="E3" s="165"/>
      <c r="F3" s="165"/>
      <c r="G3" s="165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</row>
    <row r="4" spans="1:23" ht="27" customHeight="1">
      <c r="A4" s="162">
        <v>3</v>
      </c>
      <c r="B4" s="163">
        <v>3</v>
      </c>
      <c r="C4" s="163" t="s">
        <v>2498</v>
      </c>
      <c r="D4" s="163" t="s">
        <v>2475</v>
      </c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</row>
    <row r="5" spans="1:23" ht="27" customHeight="1">
      <c r="A5" s="162">
        <v>4</v>
      </c>
      <c r="B5" s="174">
        <v>4</v>
      </c>
      <c r="C5" s="174"/>
      <c r="D5" s="163"/>
      <c r="E5" s="174"/>
      <c r="F5" s="174"/>
      <c r="G5" s="174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</row>
    <row r="6" spans="1:23" ht="27" customHeight="1">
      <c r="A6" s="162">
        <v>5</v>
      </c>
      <c r="B6" s="174">
        <v>5</v>
      </c>
      <c r="C6" s="174"/>
      <c r="D6" s="163" t="s">
        <v>2478</v>
      </c>
      <c r="E6" s="174"/>
      <c r="F6" s="174"/>
      <c r="G6" s="174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</row>
    <row r="7" spans="1:23" ht="27" customHeight="1">
      <c r="A7" s="162">
        <v>6</v>
      </c>
      <c r="B7" s="172"/>
      <c r="C7" s="172"/>
      <c r="D7" s="163"/>
      <c r="E7" s="172"/>
      <c r="F7" s="172"/>
      <c r="G7" s="172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W7" s="166" t="s">
        <v>2465</v>
      </c>
    </row>
    <row r="8" spans="1:23" ht="27" customHeight="1">
      <c r="A8" s="162">
        <v>7</v>
      </c>
      <c r="B8" s="172"/>
      <c r="C8" s="172"/>
      <c r="D8" s="163"/>
      <c r="E8" s="172"/>
      <c r="F8" s="172"/>
      <c r="G8" s="172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W8" s="166" t="s">
        <v>2137</v>
      </c>
    </row>
    <row r="9" spans="1:23" ht="27" customHeight="1">
      <c r="A9" s="162">
        <v>8</v>
      </c>
      <c r="B9" s="172"/>
      <c r="C9" s="172"/>
      <c r="D9" s="163">
        <v>777777777</v>
      </c>
      <c r="E9" s="174"/>
      <c r="F9" s="174"/>
      <c r="G9" s="174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W9" s="166" t="s">
        <v>2137</v>
      </c>
    </row>
    <row r="10" spans="1:23" ht="27" customHeight="1">
      <c r="A10" s="162">
        <v>9</v>
      </c>
      <c r="B10" s="172"/>
      <c r="C10" s="172"/>
      <c r="D10" s="163"/>
      <c r="E10" s="174"/>
      <c r="F10" s="174"/>
      <c r="G10" s="174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W10" s="166" t="s">
        <v>2137</v>
      </c>
    </row>
    <row r="11" spans="1:23" ht="27" customHeight="1">
      <c r="A11" s="162">
        <v>0</v>
      </c>
      <c r="B11" s="172"/>
      <c r="C11" s="172"/>
      <c r="D11" s="163"/>
      <c r="E11" s="172"/>
      <c r="F11" s="172"/>
      <c r="G11" s="172"/>
      <c r="H11" s="163"/>
      <c r="I11" s="163"/>
      <c r="J11" s="163"/>
      <c r="K11" s="163"/>
      <c r="L11" s="163" t="s">
        <v>2472</v>
      </c>
      <c r="M11" s="163"/>
      <c r="N11" s="163"/>
      <c r="O11" s="163"/>
      <c r="P11" s="163"/>
      <c r="Q11" s="163"/>
      <c r="R11" s="163"/>
      <c r="W11" s="166" t="s">
        <v>2137</v>
      </c>
    </row>
    <row r="12" spans="1:23" ht="27" customHeight="1">
      <c r="A12" s="162" t="s">
        <v>2454</v>
      </c>
      <c r="B12" s="165">
        <v>6</v>
      </c>
      <c r="C12" s="165"/>
      <c r="D12" s="163"/>
      <c r="E12" s="163" t="s">
        <v>2501</v>
      </c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W12" s="166" t="s">
        <v>2137</v>
      </c>
    </row>
    <row r="13" spans="1:23" ht="27" customHeight="1">
      <c r="A13" s="162" t="s">
        <v>1445</v>
      </c>
      <c r="B13" s="165">
        <v>7</v>
      </c>
      <c r="C13" s="165"/>
      <c r="D13" s="163" t="s">
        <v>2474</v>
      </c>
      <c r="E13" s="165" t="s">
        <v>2492</v>
      </c>
      <c r="F13" s="163" t="s">
        <v>2149</v>
      </c>
      <c r="G13" s="165"/>
      <c r="H13" s="163"/>
      <c r="I13" s="163"/>
      <c r="J13" s="163"/>
      <c r="K13" s="163" t="s">
        <v>2472</v>
      </c>
      <c r="M13" s="163" t="s">
        <v>2472</v>
      </c>
      <c r="N13" s="163" t="s">
        <v>2472</v>
      </c>
      <c r="O13" s="163" t="s">
        <v>2472</v>
      </c>
      <c r="P13" s="163"/>
      <c r="Q13" s="163"/>
      <c r="R13" s="163"/>
      <c r="W13" s="166" t="s">
        <v>2138</v>
      </c>
    </row>
    <row r="14" spans="1:23" ht="27" customHeight="1">
      <c r="A14" s="162" t="s">
        <v>1444</v>
      </c>
      <c r="B14" s="165">
        <v>8</v>
      </c>
      <c r="C14" s="163" t="s">
        <v>2499</v>
      </c>
      <c r="D14" s="163" t="s">
        <v>2149</v>
      </c>
      <c r="E14" s="165" t="s">
        <v>2493</v>
      </c>
      <c r="F14" s="163" t="s">
        <v>2502</v>
      </c>
      <c r="G14" s="163"/>
      <c r="H14" s="163"/>
      <c r="I14" s="163"/>
      <c r="J14" s="163"/>
      <c r="K14" s="163"/>
      <c r="N14" s="163" t="s">
        <v>2472</v>
      </c>
      <c r="O14" s="163" t="s">
        <v>2472</v>
      </c>
      <c r="P14" s="163"/>
      <c r="Q14" s="163"/>
      <c r="R14" s="163"/>
      <c r="W14" s="166" t="s">
        <v>2139</v>
      </c>
    </row>
    <row r="15" spans="1:23" ht="27" customHeight="1">
      <c r="A15" s="162" t="s">
        <v>2118</v>
      </c>
      <c r="B15" s="163">
        <v>9</v>
      </c>
      <c r="C15" s="163"/>
      <c r="D15" s="163">
        <v>666666666</v>
      </c>
      <c r="E15" s="163" t="s">
        <v>2491</v>
      </c>
      <c r="F15" s="163"/>
      <c r="G15" s="163"/>
      <c r="H15" s="163"/>
      <c r="I15" s="163"/>
      <c r="J15" s="163" t="s">
        <v>2472</v>
      </c>
      <c r="K15" s="163"/>
      <c r="M15" s="163" t="s">
        <v>2472</v>
      </c>
      <c r="N15" s="163" t="s">
        <v>2472</v>
      </c>
      <c r="O15" s="163" t="s">
        <v>2472</v>
      </c>
      <c r="P15" s="163"/>
      <c r="Q15" s="163"/>
      <c r="R15" s="163"/>
      <c r="W15" s="167" t="s">
        <v>2140</v>
      </c>
    </row>
    <row r="16" spans="1:23" ht="27" customHeight="1">
      <c r="A16" s="162" t="s">
        <v>1446</v>
      </c>
      <c r="B16" s="163">
        <v>0</v>
      </c>
      <c r="C16" s="163"/>
      <c r="D16" s="163"/>
      <c r="E16" s="163" t="s">
        <v>2497</v>
      </c>
      <c r="F16" s="163"/>
      <c r="G16" s="163"/>
      <c r="H16" s="163"/>
      <c r="I16" s="163"/>
      <c r="K16" s="163" t="s">
        <v>2472</v>
      </c>
      <c r="M16" s="163" t="s">
        <v>2472</v>
      </c>
      <c r="N16" s="163" t="s">
        <v>2472</v>
      </c>
      <c r="O16" s="163" t="s">
        <v>2472</v>
      </c>
      <c r="P16" s="163"/>
      <c r="Q16" s="163"/>
      <c r="R16" s="163"/>
      <c r="W16" s="167" t="s">
        <v>2141</v>
      </c>
    </row>
    <row r="17" spans="1:23" ht="27" customHeight="1">
      <c r="A17" s="162" t="s">
        <v>1447</v>
      </c>
      <c r="B17" s="163" t="s">
        <v>2494</v>
      </c>
      <c r="C17" s="163"/>
      <c r="D17" s="163"/>
      <c r="E17" s="163" t="s">
        <v>2494</v>
      </c>
      <c r="F17" s="163"/>
      <c r="G17" s="163"/>
      <c r="H17" s="163"/>
      <c r="I17" s="163"/>
      <c r="J17" s="163"/>
      <c r="K17" s="163"/>
      <c r="L17" s="163" t="s">
        <v>2472</v>
      </c>
      <c r="M17" s="163" t="s">
        <v>2472</v>
      </c>
      <c r="N17" s="163" t="s">
        <v>2472</v>
      </c>
      <c r="O17" s="163" t="s">
        <v>2472</v>
      </c>
      <c r="P17" s="163"/>
      <c r="Q17" s="163"/>
      <c r="R17" s="163"/>
      <c r="W17" s="167" t="s">
        <v>2142</v>
      </c>
    </row>
    <row r="18" spans="1:23" ht="27" customHeight="1">
      <c r="A18" s="162" t="s">
        <v>2485</v>
      </c>
      <c r="B18" s="163">
        <v>6</v>
      </c>
      <c r="C18" s="163"/>
      <c r="D18" s="163"/>
      <c r="E18" s="163"/>
      <c r="F18" s="163"/>
      <c r="G18" s="163"/>
      <c r="H18" s="163"/>
      <c r="I18" s="163"/>
      <c r="J18" s="163"/>
      <c r="K18" s="163" t="s">
        <v>2472</v>
      </c>
      <c r="L18" s="163" t="s">
        <v>2472</v>
      </c>
      <c r="M18" s="163" t="s">
        <v>2472</v>
      </c>
      <c r="N18" s="163" t="s">
        <v>2472</v>
      </c>
      <c r="O18" s="163" t="s">
        <v>2472</v>
      </c>
      <c r="P18" s="163"/>
      <c r="Q18" s="163"/>
      <c r="R18" s="163"/>
      <c r="W18" s="166" t="s">
        <v>2137</v>
      </c>
    </row>
    <row r="19" spans="1:23" ht="27" customHeight="1">
      <c r="A19" s="162" t="s">
        <v>2486</v>
      </c>
      <c r="B19" s="163">
        <v>7</v>
      </c>
      <c r="C19" s="163"/>
      <c r="D19" s="163"/>
      <c r="E19" s="163"/>
      <c r="F19" s="163"/>
      <c r="G19" s="163"/>
      <c r="H19" s="163"/>
      <c r="I19" s="163" t="s">
        <v>2513</v>
      </c>
      <c r="J19" s="163" t="s">
        <v>2472</v>
      </c>
      <c r="K19" s="163"/>
      <c r="L19" s="163" t="s">
        <v>2472</v>
      </c>
      <c r="M19" s="163" t="s">
        <v>2472</v>
      </c>
      <c r="N19" s="163"/>
      <c r="O19" s="163"/>
      <c r="P19" s="163"/>
      <c r="Q19" s="163"/>
      <c r="R19" s="163"/>
      <c r="W19" s="166" t="s">
        <v>2137</v>
      </c>
    </row>
    <row r="20" spans="1:23" ht="27" customHeight="1">
      <c r="A20" s="162" t="s">
        <v>2487</v>
      </c>
      <c r="B20" s="163">
        <v>8</v>
      </c>
      <c r="C20" s="163"/>
      <c r="D20" s="163">
        <v>2.2222222224444399E+81</v>
      </c>
      <c r="E20" s="163"/>
      <c r="F20" s="163" t="s">
        <v>2512</v>
      </c>
      <c r="G20" s="163"/>
      <c r="H20" s="163"/>
      <c r="I20" s="163"/>
      <c r="J20" s="163"/>
      <c r="K20" s="163" t="s">
        <v>2472</v>
      </c>
      <c r="L20" s="163" t="s">
        <v>2472</v>
      </c>
      <c r="M20" s="163"/>
      <c r="N20" s="163"/>
      <c r="O20" s="163" t="s">
        <v>2472</v>
      </c>
      <c r="P20" s="163"/>
      <c r="Q20" s="163"/>
      <c r="R20" s="163"/>
      <c r="W20" s="166" t="s">
        <v>2137</v>
      </c>
    </row>
    <row r="21" spans="1:23" ht="27" customHeight="1">
      <c r="A21" s="162" t="s">
        <v>2488</v>
      </c>
      <c r="B21" s="163">
        <v>9</v>
      </c>
      <c r="C21" s="163"/>
      <c r="D21" s="163"/>
      <c r="E21" s="163"/>
      <c r="F21" s="163">
        <f>EE2019</f>
        <v>0</v>
      </c>
      <c r="G21" s="163"/>
      <c r="H21" s="163"/>
      <c r="I21" s="163"/>
      <c r="J21" s="163"/>
      <c r="K21" s="163" t="s">
        <v>2472</v>
      </c>
      <c r="L21" s="163"/>
      <c r="M21" s="163"/>
      <c r="N21" s="163" t="s">
        <v>2472</v>
      </c>
      <c r="O21" s="163"/>
      <c r="P21" s="163"/>
      <c r="Q21" s="163"/>
      <c r="R21" s="163"/>
      <c r="W21" s="166" t="s">
        <v>2137</v>
      </c>
    </row>
    <row r="22" spans="1:23" ht="27" customHeight="1">
      <c r="A22" s="162" t="s">
        <v>1980</v>
      </c>
      <c r="B22" s="174" t="s">
        <v>2507</v>
      </c>
      <c r="C22" s="174"/>
      <c r="D22" s="163"/>
      <c r="E22" s="174"/>
      <c r="F22" s="174" t="s">
        <v>2511</v>
      </c>
      <c r="G22" s="174"/>
      <c r="H22" s="163"/>
      <c r="I22" s="163"/>
      <c r="K22" s="163"/>
      <c r="L22" s="163"/>
      <c r="M22" s="163"/>
      <c r="N22" s="163" t="s">
        <v>2472</v>
      </c>
      <c r="O22" s="163"/>
      <c r="P22" s="163"/>
      <c r="Q22" s="163"/>
      <c r="R22" s="163"/>
      <c r="W22" s="166" t="s">
        <v>2143</v>
      </c>
    </row>
    <row r="23" spans="1:23" ht="27" customHeight="1">
      <c r="A23" s="162" t="s">
        <v>2455</v>
      </c>
      <c r="B23" s="163"/>
      <c r="C23" s="165" t="s">
        <v>2051</v>
      </c>
      <c r="D23" s="163" t="s">
        <v>2471</v>
      </c>
      <c r="E23" s="163"/>
      <c r="F23" s="163">
        <v>666666</v>
      </c>
      <c r="G23" s="163"/>
      <c r="H23" s="163"/>
      <c r="I23" s="163"/>
      <c r="J23" s="163"/>
      <c r="K23" s="163"/>
      <c r="L23" s="163" t="s">
        <v>2472</v>
      </c>
      <c r="M23" s="163" t="s">
        <v>2472</v>
      </c>
      <c r="N23" s="163"/>
      <c r="O23" s="163"/>
      <c r="P23" s="163"/>
      <c r="Q23" s="163"/>
      <c r="R23" s="163"/>
      <c r="W23" s="166" t="s">
        <v>2144</v>
      </c>
    </row>
    <row r="24" spans="1:23" ht="27" customHeight="1">
      <c r="A24" s="162" t="s">
        <v>1566</v>
      </c>
      <c r="B24" s="165" t="s">
        <v>2492</v>
      </c>
      <c r="C24" s="163" t="s">
        <v>2049</v>
      </c>
      <c r="D24" s="163" t="s">
        <v>2470</v>
      </c>
      <c r="E24" s="163"/>
      <c r="F24" s="163">
        <v>666666</v>
      </c>
      <c r="G24" s="163"/>
      <c r="H24" s="163"/>
      <c r="I24" s="163"/>
      <c r="J24" s="163"/>
      <c r="K24" s="163"/>
      <c r="L24" s="163"/>
      <c r="M24" s="163" t="s">
        <v>2472</v>
      </c>
      <c r="N24" s="163" t="s">
        <v>2472</v>
      </c>
      <c r="O24" s="163"/>
      <c r="P24" s="163"/>
      <c r="Q24" s="163"/>
      <c r="R24" s="163"/>
      <c r="W24" s="166" t="s">
        <v>2145</v>
      </c>
    </row>
    <row r="25" spans="1:23" ht="27" customHeight="1">
      <c r="A25" s="162" t="s">
        <v>1449</v>
      </c>
      <c r="B25" s="163" t="s">
        <v>2505</v>
      </c>
      <c r="C25" s="163" t="s">
        <v>2050</v>
      </c>
      <c r="D25" s="163" t="s">
        <v>2472</v>
      </c>
      <c r="E25" s="163"/>
      <c r="F25" s="163" t="s">
        <v>2511</v>
      </c>
      <c r="G25" s="163"/>
      <c r="H25" s="163" t="s">
        <v>2472</v>
      </c>
      <c r="I25" s="163"/>
      <c r="K25" s="163"/>
      <c r="L25" s="163"/>
      <c r="M25" s="163" t="s">
        <v>2472</v>
      </c>
      <c r="N25" s="163"/>
      <c r="O25" s="163"/>
      <c r="P25" s="163"/>
      <c r="Q25" s="163"/>
      <c r="R25" s="163"/>
      <c r="W25" s="167" t="s">
        <v>2146</v>
      </c>
    </row>
    <row r="26" spans="1:23" ht="27" customHeight="1">
      <c r="A26" s="162" t="s">
        <v>1448</v>
      </c>
      <c r="B26" s="165" t="s">
        <v>2508</v>
      </c>
      <c r="C26" s="165" t="s">
        <v>2492</v>
      </c>
      <c r="D26" s="163" t="s">
        <v>2473</v>
      </c>
      <c r="E26" s="163"/>
      <c r="F26" s="163" t="s">
        <v>2511</v>
      </c>
      <c r="G26" s="163"/>
      <c r="H26" s="163" t="s">
        <v>2473</v>
      </c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W26" s="167" t="s">
        <v>2147</v>
      </c>
    </row>
    <row r="27" spans="1:23" ht="27" customHeight="1">
      <c r="A27" s="162" t="s">
        <v>2456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 t="s">
        <v>2472</v>
      </c>
      <c r="O27" s="163"/>
      <c r="P27" s="163"/>
      <c r="Q27" s="163"/>
      <c r="R27" s="163"/>
      <c r="W27" s="167" t="s">
        <v>2148</v>
      </c>
    </row>
    <row r="28" spans="1:23" ht="27" customHeight="1">
      <c r="A28" s="162" t="s">
        <v>2479</v>
      </c>
      <c r="B28" s="169" t="s">
        <v>2496</v>
      </c>
      <c r="C28" s="165"/>
      <c r="D28" s="163" t="s">
        <v>2476</v>
      </c>
      <c r="E28" s="165"/>
      <c r="F28" s="165"/>
      <c r="G28" s="165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</row>
    <row r="29" spans="1:23" ht="27" customHeight="1">
      <c r="A29" s="162" t="s">
        <v>2469</v>
      </c>
      <c r="B29" s="163" t="s">
        <v>2506</v>
      </c>
      <c r="C29" s="163"/>
      <c r="D29" s="163"/>
      <c r="E29" s="163"/>
      <c r="F29" s="165" t="s">
        <v>2510</v>
      </c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W29" s="167" t="s">
        <v>2142</v>
      </c>
    </row>
    <row r="30" spans="1:23" ht="27" customHeight="1">
      <c r="A30" s="162" t="s">
        <v>2489</v>
      </c>
      <c r="B30" s="163"/>
      <c r="C30" s="163"/>
      <c r="D30" s="163"/>
      <c r="E30" s="163"/>
      <c r="F30" s="163" t="b">
        <f>G31=F31</f>
        <v>1</v>
      </c>
      <c r="G30" s="163"/>
      <c r="H30" s="163"/>
      <c r="I30" s="163">
        <v>77777777777</v>
      </c>
      <c r="J30" s="163"/>
      <c r="K30" s="163"/>
      <c r="L30" s="163"/>
      <c r="M30" s="163"/>
      <c r="N30" s="163"/>
      <c r="O30" s="163"/>
      <c r="P30" s="163"/>
      <c r="Q30" s="163"/>
      <c r="R30" s="163"/>
      <c r="W30" s="166" t="s">
        <v>2137</v>
      </c>
    </row>
    <row r="31" spans="1:23" ht="27" customHeight="1">
      <c r="A31" s="162" t="s">
        <v>1350</v>
      </c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W31" s="166" t="s">
        <v>2137</v>
      </c>
    </row>
    <row r="32" spans="1:23" ht="27" customHeight="1">
      <c r="A32" s="168" t="s">
        <v>2490</v>
      </c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W32" s="166" t="s">
        <v>2137</v>
      </c>
    </row>
    <row r="33" spans="1:18" ht="27" customHeight="1">
      <c r="A33" s="162" t="s">
        <v>2457</v>
      </c>
      <c r="B33" s="169"/>
      <c r="C33" s="169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</row>
    <row r="34" spans="1:18" ht="27" customHeight="1">
      <c r="A34" s="162" t="s">
        <v>2458</v>
      </c>
      <c r="B34" s="173"/>
      <c r="C34" s="173"/>
      <c r="D34" s="163"/>
      <c r="E34" s="173"/>
      <c r="F34" s="173"/>
      <c r="G34" s="17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</row>
    <row r="35" spans="1:18" ht="27" customHeight="1">
      <c r="A35" s="162" t="s">
        <v>2459</v>
      </c>
      <c r="B35" s="173"/>
      <c r="C35" s="173"/>
      <c r="D35" s="163"/>
      <c r="E35" s="173"/>
      <c r="F35" s="173"/>
      <c r="G35" s="173"/>
      <c r="H35" s="165"/>
      <c r="I35" s="163"/>
      <c r="J35" s="163"/>
      <c r="K35" s="163"/>
      <c r="L35" s="163"/>
      <c r="M35" s="163"/>
      <c r="N35" s="163"/>
      <c r="O35" s="163"/>
      <c r="P35" s="163"/>
      <c r="Q35" s="163"/>
      <c r="R35" s="163"/>
    </row>
    <row r="36" spans="1:18" s="171" customFormat="1" ht="27" customHeight="1">
      <c r="A36" s="162" t="s">
        <v>1383</v>
      </c>
      <c r="B36" s="169" t="s">
        <v>2509</v>
      </c>
      <c r="C36" s="169"/>
      <c r="D36" s="170"/>
      <c r="E36" s="165"/>
      <c r="F36" s="165"/>
      <c r="G36" s="165"/>
      <c r="H36" s="163"/>
      <c r="I36" s="170"/>
      <c r="J36" s="170"/>
      <c r="K36" s="170"/>
      <c r="L36" s="170"/>
      <c r="M36" s="170"/>
      <c r="N36" s="170"/>
      <c r="O36" s="170"/>
      <c r="P36" s="170"/>
      <c r="Q36" s="170" t="s">
        <v>1495</v>
      </c>
      <c r="R36" s="170" t="s">
        <v>1497</v>
      </c>
    </row>
    <row r="37" spans="1:18" ht="27" customHeight="1">
      <c r="A37" s="162" t="s">
        <v>1564</v>
      </c>
      <c r="B37" s="169" t="s">
        <v>2496</v>
      </c>
      <c r="C37" s="169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 t="s">
        <v>2150</v>
      </c>
      <c r="R37" s="163" t="s">
        <v>2173</v>
      </c>
    </row>
    <row r="38" spans="1:18" ht="27" customHeight="1">
      <c r="A38" s="162" t="s">
        <v>2460</v>
      </c>
      <c r="B38" s="169"/>
      <c r="C38" s="169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</row>
    <row r="39" spans="1:18" ht="27" customHeight="1">
      <c r="A39" s="162" t="s">
        <v>2461</v>
      </c>
      <c r="B39" s="169" t="s">
        <v>2495</v>
      </c>
      <c r="C39" s="169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</row>
    <row r="40" spans="1:18" ht="27" customHeight="1">
      <c r="A40" s="168" t="s">
        <v>2477</v>
      </c>
      <c r="B40" s="163"/>
      <c r="C40" s="163"/>
      <c r="D40" s="163"/>
      <c r="E40" s="163"/>
      <c r="F40" s="163"/>
      <c r="G40" s="163"/>
    </row>
    <row r="41" spans="1:18" ht="27" customHeight="1">
      <c r="A41" s="162"/>
      <c r="B41" s="163"/>
      <c r="C41" s="163"/>
      <c r="D41" s="163"/>
      <c r="E41" s="163"/>
      <c r="F41" s="163"/>
      <c r="G41" s="163"/>
    </row>
    <row r="42" spans="1:18" ht="27" customHeight="1">
      <c r="A42" s="162"/>
      <c r="B42" s="163"/>
      <c r="C42" s="163"/>
      <c r="D42" s="163"/>
      <c r="E42" s="163"/>
      <c r="F42" s="163"/>
      <c r="G42" s="163"/>
    </row>
    <row r="43" spans="1:18" ht="27" customHeight="1">
      <c r="A43" s="162"/>
      <c r="B43" s="163"/>
      <c r="C43" s="163"/>
      <c r="D43" s="163"/>
      <c r="E43" s="163"/>
      <c r="F43" s="163"/>
      <c r="G43" s="163"/>
    </row>
    <row r="44" spans="1:18" ht="27" customHeight="1">
      <c r="A44" s="162"/>
      <c r="B44" s="163"/>
      <c r="C44" s="163"/>
      <c r="D44" s="163"/>
      <c r="E44" s="163"/>
      <c r="F44" s="163"/>
      <c r="G44" s="163"/>
    </row>
    <row r="45" spans="1:18" ht="27" customHeight="1">
      <c r="A45" s="162"/>
      <c r="B45" s="163"/>
      <c r="C45" s="163"/>
      <c r="D45" s="163"/>
      <c r="E45" s="163"/>
      <c r="F45" s="163"/>
      <c r="G45" s="163"/>
    </row>
    <row r="46" spans="1:18" ht="27" customHeight="1">
      <c r="A46" s="162"/>
      <c r="B46" s="163"/>
      <c r="C46" s="163"/>
      <c r="D46" s="163"/>
      <c r="E46" s="163"/>
      <c r="F46" s="163"/>
      <c r="G46" s="163"/>
    </row>
    <row r="47" spans="1:18" ht="27" customHeight="1">
      <c r="A47" s="168"/>
      <c r="B47" s="163"/>
      <c r="C47" s="163"/>
      <c r="D47" s="163"/>
      <c r="E47" s="163"/>
      <c r="F47" s="163"/>
      <c r="G47" s="163"/>
    </row>
    <row r="48" spans="1:18" ht="27" customHeight="1">
      <c r="A48" s="162"/>
      <c r="B48" s="163"/>
      <c r="C48" s="163"/>
      <c r="D48" s="163"/>
      <c r="E48" s="163"/>
      <c r="F48" s="163"/>
      <c r="G48" s="163"/>
    </row>
    <row r="49" spans="1:7" ht="27" customHeight="1">
      <c r="A49" s="162"/>
      <c r="B49" s="163" t="s">
        <v>2480</v>
      </c>
      <c r="C49" s="163"/>
      <c r="D49" s="163"/>
      <c r="E49" s="163"/>
      <c r="F49" s="163"/>
      <c r="G49" s="163"/>
    </row>
    <row r="50" spans="1:7" ht="27" customHeight="1">
      <c r="A50" s="162"/>
      <c r="B50" s="163" t="s">
        <v>2481</v>
      </c>
      <c r="C50" s="163"/>
      <c r="D50" s="163"/>
      <c r="E50" s="163"/>
      <c r="F50" s="163"/>
      <c r="G50" s="163"/>
    </row>
    <row r="51" spans="1:7" ht="27" customHeight="1">
      <c r="A51" s="162"/>
      <c r="B51" s="163" t="s">
        <v>2482</v>
      </c>
      <c r="C51" s="163"/>
      <c r="D51" s="163"/>
      <c r="E51" s="163"/>
      <c r="F51" s="163"/>
      <c r="G51" s="163"/>
    </row>
    <row r="52" spans="1:7" ht="27" customHeight="1">
      <c r="A52" s="162"/>
      <c r="B52" s="163" t="s">
        <v>2483</v>
      </c>
      <c r="C52" s="163"/>
      <c r="D52" s="163"/>
      <c r="E52" s="163"/>
      <c r="F52" s="163"/>
      <c r="G52" s="163"/>
    </row>
    <row r="53" spans="1:7" ht="27" customHeight="1">
      <c r="A53" s="162"/>
      <c r="B53" s="163" t="s">
        <v>2484</v>
      </c>
      <c r="C53" s="163"/>
      <c r="D53" s="163"/>
      <c r="E53" s="163"/>
      <c r="F53" s="163"/>
      <c r="G53" s="163"/>
    </row>
    <row r="54" spans="1:7" ht="27" customHeight="1">
      <c r="A54" s="162"/>
      <c r="B54" s="163"/>
      <c r="C54" s="163"/>
      <c r="D54" s="163"/>
      <c r="E54" s="163"/>
      <c r="F54" s="163"/>
      <c r="G54" s="163"/>
    </row>
    <row r="55" spans="1:7" ht="27" customHeight="1">
      <c r="A55" s="162"/>
      <c r="B55" s="163"/>
      <c r="C55" s="163"/>
      <c r="D55" s="163"/>
      <c r="E55" s="163"/>
      <c r="F55" s="163"/>
      <c r="G55" s="163"/>
    </row>
    <row r="56" spans="1:7" ht="27" customHeight="1">
      <c r="A56" s="162"/>
      <c r="B56" s="163"/>
      <c r="C56" s="163"/>
      <c r="D56" s="163"/>
      <c r="E56" s="163"/>
      <c r="F56" s="163"/>
      <c r="G56" s="163"/>
    </row>
    <row r="57" spans="1:7" ht="27" customHeight="1">
      <c r="A57" s="162"/>
      <c r="B57" s="163" t="s">
        <v>2514</v>
      </c>
      <c r="C57" s="175"/>
      <c r="D57" s="163"/>
      <c r="E57" s="163"/>
      <c r="F57" s="163"/>
      <c r="G57" s="163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DF8C-3150-4ACE-8FE6-CBB88D40AD8D}">
  <sheetPr codeName="Sheet4"/>
  <dimension ref="A1:K127"/>
  <sheetViews>
    <sheetView showGridLines="0" zoomScale="70" zoomScaleNormal="7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F13" sqref="F13"/>
    </sheetView>
  </sheetViews>
  <sheetFormatPr defaultColWidth="18.109375" defaultRowHeight="21.6" customHeight="1"/>
  <cols>
    <col min="1" max="1" width="10.21875" style="132" customWidth="1"/>
    <col min="2" max="8" width="33.6640625" style="128" customWidth="1"/>
    <col min="9" max="9" width="32.6640625" style="128" customWidth="1"/>
    <col min="10" max="16384" width="18.109375" style="128"/>
  </cols>
  <sheetData>
    <row r="1" spans="1:8" s="127" customFormat="1" ht="29.25" customHeight="1">
      <c r="A1" s="129" t="s">
        <v>899</v>
      </c>
      <c r="B1" s="126">
        <v>1</v>
      </c>
      <c r="C1" s="126">
        <v>2</v>
      </c>
      <c r="D1" s="126">
        <v>3</v>
      </c>
      <c r="E1" s="126">
        <v>4</v>
      </c>
      <c r="F1" s="126">
        <v>5</v>
      </c>
      <c r="G1" s="126">
        <v>6</v>
      </c>
      <c r="H1" s="126"/>
    </row>
    <row r="2" spans="1:8" ht="21.6" customHeight="1">
      <c r="A2" s="130" t="s">
        <v>1490</v>
      </c>
      <c r="B2" s="133" t="s">
        <v>1030</v>
      </c>
      <c r="C2" s="133"/>
      <c r="D2" s="134"/>
      <c r="E2" s="135"/>
      <c r="F2" s="133"/>
      <c r="G2" s="133"/>
      <c r="H2" s="134"/>
    </row>
    <row r="3" spans="1:8" ht="21.6" customHeight="1">
      <c r="A3" s="130" t="s">
        <v>2132</v>
      </c>
      <c r="B3" s="133" t="s">
        <v>1030</v>
      </c>
      <c r="C3" s="133"/>
      <c r="D3" s="133"/>
      <c r="E3" s="135"/>
      <c r="F3" s="133"/>
      <c r="G3" s="133"/>
      <c r="H3" s="134"/>
    </row>
    <row r="4" spans="1:8" ht="21.6" customHeight="1">
      <c r="A4" s="130" t="s">
        <v>2135</v>
      </c>
      <c r="B4" s="135"/>
      <c r="C4" s="135"/>
      <c r="D4" s="134"/>
      <c r="E4" s="135"/>
      <c r="F4" s="135"/>
      <c r="G4" s="135"/>
      <c r="H4" s="134"/>
    </row>
    <row r="5" spans="1:8" ht="21.6" customHeight="1">
      <c r="A5" s="137" t="s">
        <v>2131</v>
      </c>
      <c r="B5" s="141"/>
      <c r="C5" s="140"/>
      <c r="D5" s="138"/>
      <c r="E5" s="140"/>
      <c r="F5" s="140"/>
      <c r="G5" s="140"/>
      <c r="H5" s="138"/>
    </row>
    <row r="6" spans="1:8" ht="21.6" customHeight="1">
      <c r="A6" s="137" t="s">
        <v>2134</v>
      </c>
      <c r="B6" s="140"/>
      <c r="C6" s="140"/>
      <c r="D6" s="139"/>
      <c r="E6" s="140"/>
      <c r="F6" s="140"/>
      <c r="G6" s="140"/>
      <c r="H6" s="139"/>
    </row>
    <row r="7" spans="1:8" ht="21.6" customHeight="1">
      <c r="A7" s="137" t="s">
        <v>2133</v>
      </c>
      <c r="B7" s="138"/>
      <c r="C7" s="138"/>
      <c r="D7" s="138" t="s">
        <v>2173</v>
      </c>
      <c r="E7" s="140"/>
      <c r="F7" s="138"/>
      <c r="G7" s="138"/>
      <c r="H7" s="139"/>
    </row>
    <row r="8" spans="1:8" ht="21.6" customHeight="1">
      <c r="A8" s="137" t="s">
        <v>2136</v>
      </c>
      <c r="B8" s="138"/>
      <c r="C8" s="138"/>
      <c r="D8" s="139"/>
      <c r="E8" s="140"/>
      <c r="F8" s="138"/>
      <c r="G8" s="138"/>
      <c r="H8" s="139"/>
    </row>
    <row r="9" spans="1:8" ht="21.6" customHeight="1">
      <c r="A9" s="130" t="s">
        <v>1347</v>
      </c>
      <c r="B9" s="135"/>
      <c r="C9" s="147"/>
      <c r="D9" s="147"/>
      <c r="E9" s="147"/>
      <c r="F9" s="147"/>
      <c r="G9" s="147"/>
      <c r="H9" s="134"/>
    </row>
    <row r="10" spans="1:8" ht="21.6" customHeight="1">
      <c r="A10" s="130" t="s">
        <v>2137</v>
      </c>
      <c r="B10" s="133"/>
      <c r="C10" s="133"/>
      <c r="D10" s="134" t="s">
        <v>2173</v>
      </c>
      <c r="E10" s="134" t="s">
        <v>2173</v>
      </c>
      <c r="F10" s="147"/>
      <c r="G10" s="147"/>
      <c r="H10" s="147"/>
    </row>
    <row r="11" spans="1:8" ht="21.6" customHeight="1">
      <c r="A11" s="130" t="s">
        <v>2138</v>
      </c>
      <c r="B11" s="133"/>
      <c r="C11" s="147"/>
      <c r="D11" s="134" t="s">
        <v>2173</v>
      </c>
      <c r="E11" s="147"/>
      <c r="F11" s="147"/>
      <c r="G11" s="133"/>
      <c r="H11" s="147"/>
    </row>
    <row r="12" spans="1:8" ht="21.6" customHeight="1">
      <c r="A12" s="130" t="s">
        <v>2139</v>
      </c>
      <c r="B12" s="147"/>
      <c r="C12" s="147"/>
      <c r="D12" s="147"/>
      <c r="E12" s="147"/>
      <c r="F12" s="147"/>
      <c r="G12" s="147"/>
      <c r="H12" s="134"/>
    </row>
    <row r="13" spans="1:8" ht="21.6" customHeight="1">
      <c r="A13" s="137" t="s">
        <v>2140</v>
      </c>
      <c r="B13" s="138"/>
      <c r="C13" s="138"/>
      <c r="D13" s="139"/>
      <c r="E13" s="140"/>
      <c r="F13" s="138"/>
      <c r="G13" s="138"/>
      <c r="H13" s="139"/>
    </row>
    <row r="14" spans="1:8" ht="21.6" customHeight="1">
      <c r="A14" s="137" t="s">
        <v>2141</v>
      </c>
      <c r="B14" s="138"/>
      <c r="C14" s="138"/>
      <c r="D14" s="138"/>
      <c r="E14" s="140"/>
      <c r="F14" s="138"/>
      <c r="G14" s="138"/>
      <c r="H14" s="138"/>
    </row>
    <row r="15" spans="1:8" ht="21.6" customHeight="1">
      <c r="A15" s="137" t="s">
        <v>2142</v>
      </c>
      <c r="B15" s="138"/>
      <c r="C15" s="138"/>
      <c r="D15" s="138"/>
      <c r="E15" s="140"/>
      <c r="F15" s="138"/>
      <c r="G15" s="138"/>
      <c r="H15" s="138"/>
    </row>
    <row r="16" spans="1:8" ht="21.6" customHeight="1">
      <c r="A16" s="130" t="s">
        <v>2143</v>
      </c>
      <c r="B16" s="135"/>
      <c r="C16" s="135"/>
      <c r="D16" s="134"/>
      <c r="E16" s="135"/>
      <c r="F16" s="135"/>
      <c r="G16" s="133"/>
      <c r="H16" s="133"/>
    </row>
    <row r="17" spans="1:8" ht="21.6" customHeight="1">
      <c r="A17" s="130" t="s">
        <v>2144</v>
      </c>
      <c r="B17" s="133"/>
      <c r="C17" s="133"/>
      <c r="D17" s="133"/>
      <c r="E17" s="135"/>
      <c r="F17" s="133"/>
      <c r="G17" s="133"/>
      <c r="H17" s="133"/>
    </row>
    <row r="18" spans="1:8" ht="21.6" customHeight="1">
      <c r="A18" s="130" t="s">
        <v>2145</v>
      </c>
      <c r="B18" s="133"/>
      <c r="C18" s="133"/>
      <c r="D18" s="133"/>
      <c r="E18" s="135"/>
      <c r="F18" s="136"/>
      <c r="G18" s="133"/>
      <c r="H18" s="134"/>
    </row>
    <row r="19" spans="1:8" ht="21.6" customHeight="1">
      <c r="A19" s="137" t="s">
        <v>2146</v>
      </c>
      <c r="B19" s="138"/>
      <c r="C19" s="138"/>
      <c r="D19" s="138"/>
      <c r="E19" s="140"/>
      <c r="F19" s="139"/>
      <c r="G19" s="138"/>
      <c r="H19" s="139"/>
    </row>
    <row r="20" spans="1:8" ht="21.6" customHeight="1">
      <c r="A20" s="137" t="s">
        <v>2147</v>
      </c>
      <c r="B20" s="138"/>
      <c r="C20" s="138"/>
      <c r="D20" s="139"/>
      <c r="E20" s="140"/>
      <c r="F20" s="139"/>
      <c r="G20" s="138"/>
      <c r="H20" s="139"/>
    </row>
    <row r="21" spans="1:8" ht="21.6" customHeight="1">
      <c r="A21" s="137" t="s">
        <v>2148</v>
      </c>
      <c r="B21" s="138"/>
      <c r="C21" s="138"/>
      <c r="D21" s="138"/>
      <c r="E21" s="140"/>
      <c r="F21" s="139"/>
      <c r="G21" s="138"/>
      <c r="H21" s="139"/>
    </row>
    <row r="22" spans="1:8" ht="21.6" customHeight="1">
      <c r="A22" s="131"/>
      <c r="B22" s="133"/>
      <c r="C22" s="133"/>
      <c r="D22" s="134"/>
      <c r="E22" s="133"/>
      <c r="F22" s="133"/>
      <c r="G22" s="133"/>
      <c r="H22" s="134"/>
    </row>
    <row r="23" spans="1:8" s="127" customFormat="1" ht="29.25" customHeight="1">
      <c r="A23" s="129" t="s">
        <v>899</v>
      </c>
      <c r="B23" s="126" t="s">
        <v>1344</v>
      </c>
      <c r="C23" s="126" t="s">
        <v>1500</v>
      </c>
      <c r="D23" s="126" t="s">
        <v>1488</v>
      </c>
      <c r="E23" s="126" t="s">
        <v>1495</v>
      </c>
      <c r="F23" s="126" t="s">
        <v>1497</v>
      </c>
      <c r="G23" s="126" t="s">
        <v>1502</v>
      </c>
      <c r="H23" s="126"/>
    </row>
    <row r="24" spans="1:8" ht="21.6" customHeight="1">
      <c r="A24" s="130" t="s">
        <v>1490</v>
      </c>
      <c r="B24" s="133" t="s">
        <v>2160</v>
      </c>
      <c r="C24" s="135" t="s">
        <v>1511</v>
      </c>
      <c r="D24" s="134" t="s">
        <v>2149</v>
      </c>
      <c r="E24" s="135" t="s">
        <v>2150</v>
      </c>
      <c r="F24" s="134" t="s">
        <v>2173</v>
      </c>
      <c r="G24" s="133"/>
      <c r="H24" s="134"/>
    </row>
    <row r="25" spans="1:8" ht="21.6" customHeight="1">
      <c r="A25" s="130" t="s">
        <v>2132</v>
      </c>
      <c r="B25" s="133"/>
      <c r="C25" s="133"/>
      <c r="D25" s="134"/>
      <c r="E25" s="135"/>
      <c r="F25" s="133"/>
      <c r="G25" s="133"/>
      <c r="H25" s="133" t="s">
        <v>2124</v>
      </c>
    </row>
    <row r="26" spans="1:8" ht="21.6" customHeight="1">
      <c r="A26" s="130" t="s">
        <v>2135</v>
      </c>
      <c r="B26" s="133" t="s">
        <v>2174</v>
      </c>
      <c r="C26" s="135"/>
      <c r="D26" s="134"/>
      <c r="E26" s="135"/>
      <c r="F26" s="135"/>
      <c r="G26" s="135"/>
      <c r="H26" s="134"/>
    </row>
    <row r="27" spans="1:8" ht="21.6" customHeight="1">
      <c r="A27" s="137" t="s">
        <v>2131</v>
      </c>
      <c r="B27" s="141" t="s">
        <v>1337</v>
      </c>
      <c r="C27" s="140" t="s">
        <v>2152</v>
      </c>
      <c r="D27" s="138" t="s">
        <v>2151</v>
      </c>
      <c r="E27" s="140" t="s">
        <v>2171</v>
      </c>
      <c r="F27" s="140" t="s">
        <v>2345</v>
      </c>
      <c r="G27" s="140"/>
      <c r="H27" s="138"/>
    </row>
    <row r="28" spans="1:8" ht="21.6" customHeight="1">
      <c r="A28" s="137" t="s">
        <v>2134</v>
      </c>
      <c r="B28" s="140"/>
      <c r="C28" s="140"/>
      <c r="D28" s="139"/>
      <c r="E28" s="140"/>
      <c r="F28" s="140"/>
      <c r="G28" s="140"/>
      <c r="H28" s="139"/>
    </row>
    <row r="29" spans="1:8" ht="21.6" customHeight="1">
      <c r="A29" s="137" t="s">
        <v>2133</v>
      </c>
      <c r="B29" s="138"/>
      <c r="C29" s="138" t="s">
        <v>2165</v>
      </c>
      <c r="D29" s="138"/>
      <c r="E29" s="140"/>
      <c r="F29" s="138"/>
      <c r="G29" s="138"/>
      <c r="H29" s="139"/>
    </row>
    <row r="30" spans="1:8" ht="21.6" customHeight="1">
      <c r="A30" s="137" t="s">
        <v>2136</v>
      </c>
      <c r="B30" s="138"/>
      <c r="C30" s="138"/>
      <c r="D30" s="139"/>
      <c r="E30" s="140"/>
      <c r="F30" s="138"/>
      <c r="G30" s="138"/>
      <c r="H30" s="139"/>
    </row>
    <row r="31" spans="1:8" ht="21.6" customHeight="1">
      <c r="A31" s="130" t="s">
        <v>1494</v>
      </c>
      <c r="B31" s="133" t="s">
        <v>2159</v>
      </c>
      <c r="C31" s="142" t="s">
        <v>2160</v>
      </c>
      <c r="D31" s="134" t="s">
        <v>2149</v>
      </c>
      <c r="E31" s="135" t="s">
        <v>2150</v>
      </c>
      <c r="F31" s="133"/>
      <c r="G31" s="133"/>
      <c r="H31" s="134"/>
    </row>
    <row r="32" spans="1:8" ht="21.6" customHeight="1">
      <c r="A32" s="130" t="s">
        <v>1347</v>
      </c>
      <c r="B32" s="135" t="s">
        <v>2164</v>
      </c>
      <c r="C32" s="135" t="s">
        <v>2163</v>
      </c>
      <c r="D32" s="134"/>
      <c r="E32" s="135"/>
      <c r="F32" s="133"/>
      <c r="G32" s="133"/>
      <c r="H32" s="134"/>
    </row>
    <row r="33" spans="1:11" ht="21.6" customHeight="1">
      <c r="A33" s="130" t="s">
        <v>2137</v>
      </c>
      <c r="B33" s="133" t="s">
        <v>2166</v>
      </c>
      <c r="C33" s="133" t="s">
        <v>2167</v>
      </c>
      <c r="D33" s="134"/>
      <c r="E33" s="135"/>
      <c r="F33" s="133" t="s">
        <v>2179</v>
      </c>
      <c r="G33" s="133"/>
      <c r="H33" s="134"/>
    </row>
    <row r="34" spans="1:11" ht="21.6" customHeight="1">
      <c r="A34" s="130" t="s">
        <v>2138</v>
      </c>
      <c r="B34" s="133"/>
      <c r="C34" s="133" t="s">
        <v>2165</v>
      </c>
      <c r="D34" s="134"/>
      <c r="E34" s="135"/>
      <c r="F34" s="133"/>
      <c r="G34" s="133"/>
      <c r="H34" s="134"/>
    </row>
    <row r="35" spans="1:11" ht="21.6" customHeight="1">
      <c r="A35" s="130" t="s">
        <v>2139</v>
      </c>
      <c r="B35" s="133" t="s">
        <v>1030</v>
      </c>
      <c r="C35" s="133"/>
      <c r="D35" s="134"/>
      <c r="E35" s="135" t="s">
        <v>2179</v>
      </c>
      <c r="F35" s="133"/>
      <c r="G35" s="133"/>
      <c r="H35" s="134"/>
    </row>
    <row r="36" spans="1:11" ht="21.6" customHeight="1">
      <c r="A36" s="137" t="s">
        <v>2140</v>
      </c>
      <c r="B36" s="138"/>
      <c r="C36" s="138" t="s">
        <v>2168</v>
      </c>
      <c r="D36" s="139"/>
      <c r="E36" s="140"/>
      <c r="F36" s="138"/>
      <c r="G36" s="138"/>
      <c r="H36" s="139"/>
    </row>
    <row r="37" spans="1:11" ht="21.6" customHeight="1">
      <c r="A37" s="137" t="s">
        <v>2141</v>
      </c>
      <c r="B37" s="138"/>
      <c r="C37" s="138"/>
      <c r="D37" s="138"/>
      <c r="E37" s="140"/>
      <c r="F37" s="138"/>
      <c r="G37" s="138"/>
      <c r="H37" s="138"/>
    </row>
    <row r="38" spans="1:11" ht="21.6" customHeight="1">
      <c r="A38" s="137" t="s">
        <v>2142</v>
      </c>
      <c r="B38" s="138"/>
      <c r="C38" s="138"/>
      <c r="D38" s="138" t="s">
        <v>2179</v>
      </c>
      <c r="E38" s="140"/>
      <c r="F38" s="138"/>
      <c r="G38" s="138"/>
      <c r="H38" s="138"/>
    </row>
    <row r="39" spans="1:11" ht="21.6" customHeight="1">
      <c r="A39" s="130" t="s">
        <v>2143</v>
      </c>
      <c r="B39" s="135"/>
      <c r="C39" s="135"/>
      <c r="D39" s="134"/>
      <c r="E39" s="135"/>
      <c r="F39" s="135"/>
      <c r="G39" s="133"/>
      <c r="H39" s="133"/>
    </row>
    <row r="40" spans="1:11" ht="21.6" customHeight="1">
      <c r="A40" s="130" t="s">
        <v>2144</v>
      </c>
      <c r="B40" s="133"/>
      <c r="C40" s="133"/>
      <c r="D40" s="133"/>
      <c r="E40" s="135"/>
      <c r="F40" s="135"/>
      <c r="G40" s="133"/>
      <c r="H40" s="133"/>
    </row>
    <row r="41" spans="1:11" ht="21.6" customHeight="1">
      <c r="A41" s="130" t="s">
        <v>2145</v>
      </c>
      <c r="B41" s="133"/>
      <c r="C41" s="133"/>
      <c r="D41" s="133"/>
      <c r="E41" s="135"/>
      <c r="F41" s="135"/>
      <c r="G41" s="133"/>
      <c r="H41" s="134"/>
    </row>
    <row r="42" spans="1:11" ht="21.6" customHeight="1">
      <c r="A42" s="137" t="s">
        <v>2146</v>
      </c>
      <c r="B42" s="138"/>
      <c r="C42" s="138"/>
      <c r="D42" s="138"/>
      <c r="E42" s="140"/>
      <c r="F42" s="138"/>
      <c r="G42" s="138"/>
      <c r="H42" s="139"/>
    </row>
    <row r="43" spans="1:11" ht="21.6" customHeight="1">
      <c r="A43" s="137" t="s">
        <v>2147</v>
      </c>
      <c r="B43" s="138"/>
      <c r="C43" s="138"/>
      <c r="D43" s="139"/>
      <c r="E43" s="140"/>
      <c r="F43" s="138"/>
      <c r="G43" s="138"/>
      <c r="H43" s="139"/>
    </row>
    <row r="44" spans="1:11" ht="21.6" customHeight="1">
      <c r="A44" s="137" t="s">
        <v>2148</v>
      </c>
      <c r="B44" s="138"/>
      <c r="C44" s="138"/>
      <c r="D44" s="138"/>
      <c r="E44" s="140"/>
      <c r="F44" s="139"/>
      <c r="G44" s="138"/>
      <c r="H44" s="139"/>
    </row>
    <row r="45" spans="1:11" ht="21.6" customHeight="1">
      <c r="A45" s="131"/>
      <c r="B45" s="133"/>
      <c r="C45" s="133"/>
      <c r="D45" s="134"/>
      <c r="E45" s="133"/>
      <c r="F45" s="133"/>
      <c r="G45" s="133"/>
      <c r="H45" s="134"/>
    </row>
    <row r="46" spans="1:11" s="127" customFormat="1" ht="29.25" customHeight="1">
      <c r="A46" s="129" t="s">
        <v>899</v>
      </c>
      <c r="B46" s="126" t="s">
        <v>1485</v>
      </c>
      <c r="C46" s="126" t="s">
        <v>1496</v>
      </c>
      <c r="D46" s="126" t="s">
        <v>1482</v>
      </c>
      <c r="E46" s="126" t="s">
        <v>1489</v>
      </c>
      <c r="F46" s="126" t="s">
        <v>1490</v>
      </c>
      <c r="G46" s="126" t="s">
        <v>1491</v>
      </c>
      <c r="H46" s="126" t="s">
        <v>1492</v>
      </c>
      <c r="I46" s="127" t="s">
        <v>2180</v>
      </c>
      <c r="J46" s="127" t="s">
        <v>2181</v>
      </c>
      <c r="K46" s="127" t="s">
        <v>2182</v>
      </c>
    </row>
    <row r="47" spans="1:11" ht="21.6" customHeight="1">
      <c r="A47" s="130" t="s">
        <v>1490</v>
      </c>
      <c r="B47" s="133"/>
      <c r="C47" s="133" t="s">
        <v>2157</v>
      </c>
      <c r="D47" s="134" t="s">
        <v>1522</v>
      </c>
      <c r="E47" s="135" t="s">
        <v>2158</v>
      </c>
      <c r="F47" s="133" t="s">
        <v>1527</v>
      </c>
      <c r="G47" s="133" t="s">
        <v>2169</v>
      </c>
      <c r="H47" s="134"/>
    </row>
    <row r="48" spans="1:11" ht="21.6" customHeight="1">
      <c r="A48" s="130" t="s">
        <v>2132</v>
      </c>
      <c r="B48" s="133"/>
      <c r="C48" s="133" t="s">
        <v>2157</v>
      </c>
      <c r="D48" s="133" t="s">
        <v>1522</v>
      </c>
      <c r="E48" s="135" t="s">
        <v>2158</v>
      </c>
      <c r="F48" s="133" t="s">
        <v>1527</v>
      </c>
      <c r="G48" s="133"/>
      <c r="H48" s="134"/>
    </row>
    <row r="49" spans="1:11" ht="21.6" customHeight="1">
      <c r="A49" s="130" t="s">
        <v>2135</v>
      </c>
      <c r="B49" s="135"/>
      <c r="C49" s="135"/>
      <c r="D49" s="134"/>
      <c r="E49" s="135"/>
      <c r="F49" s="135"/>
      <c r="G49" s="135"/>
      <c r="H49" s="134"/>
      <c r="J49" s="128" t="s">
        <v>2183</v>
      </c>
      <c r="K49" s="128" t="s">
        <v>2184</v>
      </c>
    </row>
    <row r="50" spans="1:11" ht="21.6" customHeight="1">
      <c r="A50" s="137" t="s">
        <v>2131</v>
      </c>
      <c r="B50" s="141" t="s">
        <v>2351</v>
      </c>
      <c r="C50" s="140" t="s">
        <v>2153</v>
      </c>
      <c r="D50" s="138"/>
      <c r="E50" s="140" t="s">
        <v>2172</v>
      </c>
      <c r="F50" s="140" t="s">
        <v>2154</v>
      </c>
      <c r="G50" s="140"/>
      <c r="H50" s="138"/>
    </row>
    <row r="51" spans="1:11" ht="21.6" customHeight="1">
      <c r="A51" s="137" t="s">
        <v>2134</v>
      </c>
      <c r="B51" s="140" t="s">
        <v>2347</v>
      </c>
      <c r="C51" s="140"/>
      <c r="D51" s="139"/>
      <c r="E51" s="140"/>
      <c r="F51" s="140"/>
      <c r="G51" s="140"/>
      <c r="H51" s="139"/>
    </row>
    <row r="52" spans="1:11" ht="21.6" customHeight="1">
      <c r="A52" s="137" t="s">
        <v>2133</v>
      </c>
      <c r="B52" s="138"/>
      <c r="C52" s="138"/>
      <c r="D52" s="138"/>
      <c r="E52" s="140"/>
      <c r="F52" s="138"/>
      <c r="G52" s="138"/>
      <c r="H52" s="139"/>
    </row>
    <row r="53" spans="1:11" ht="21.6" customHeight="1">
      <c r="A53" s="137" t="s">
        <v>2136</v>
      </c>
      <c r="B53" s="138"/>
      <c r="C53" s="138"/>
      <c r="D53" s="139"/>
      <c r="E53" s="140"/>
      <c r="F53" s="138"/>
      <c r="G53" s="138" t="s">
        <v>2177</v>
      </c>
      <c r="H53" s="139"/>
      <c r="I53" s="128" t="s">
        <v>2348</v>
      </c>
    </row>
    <row r="54" spans="1:11" ht="21.6" customHeight="1">
      <c r="A54" s="130" t="s">
        <v>1347</v>
      </c>
      <c r="B54" s="135"/>
      <c r="C54" s="135"/>
      <c r="D54" s="134"/>
      <c r="E54" s="135"/>
      <c r="F54" s="133"/>
      <c r="G54" s="133"/>
      <c r="H54" s="134"/>
    </row>
    <row r="55" spans="1:11" ht="21.6" customHeight="1">
      <c r="A55" s="130" t="s">
        <v>2137</v>
      </c>
      <c r="B55" s="133"/>
      <c r="C55" s="133"/>
      <c r="D55" s="134"/>
      <c r="E55" s="135"/>
      <c r="F55" s="133"/>
      <c r="G55" s="133"/>
      <c r="H55" s="134"/>
      <c r="I55" s="128" t="s">
        <v>2349</v>
      </c>
    </row>
    <row r="56" spans="1:11" ht="21.6" customHeight="1">
      <c r="A56" s="130" t="s">
        <v>2138</v>
      </c>
      <c r="B56" s="133" t="s">
        <v>1030</v>
      </c>
      <c r="C56" s="148"/>
      <c r="D56" s="134"/>
      <c r="E56" s="135"/>
      <c r="F56" s="133"/>
      <c r="G56" s="133"/>
      <c r="H56" s="134"/>
    </row>
    <row r="57" spans="1:11" ht="21.6" customHeight="1">
      <c r="A57" s="130" t="s">
        <v>2139</v>
      </c>
      <c r="B57" s="133" t="s">
        <v>1030</v>
      </c>
      <c r="C57" s="133"/>
      <c r="D57" s="134"/>
      <c r="E57" s="135"/>
      <c r="F57" s="133"/>
      <c r="G57" s="133"/>
      <c r="H57" s="138" t="s">
        <v>2178</v>
      </c>
    </row>
    <row r="58" spans="1:11" ht="21.6" customHeight="1">
      <c r="A58" s="137" t="s">
        <v>2140</v>
      </c>
      <c r="B58" s="138"/>
      <c r="C58" s="138"/>
      <c r="D58" s="139"/>
      <c r="E58" s="140"/>
      <c r="F58" s="138"/>
      <c r="G58" s="138"/>
      <c r="H58" s="139"/>
    </row>
    <row r="59" spans="1:11" ht="21.6" customHeight="1">
      <c r="A59" s="137" t="s">
        <v>2141</v>
      </c>
      <c r="B59" s="138"/>
      <c r="C59" s="138"/>
      <c r="D59" s="138"/>
      <c r="E59" s="140"/>
      <c r="F59" s="138"/>
      <c r="G59" s="138"/>
      <c r="H59" s="138"/>
    </row>
    <row r="60" spans="1:11" ht="21.6" customHeight="1">
      <c r="A60" s="137" t="s">
        <v>2142</v>
      </c>
      <c r="B60" s="138"/>
      <c r="C60" s="138"/>
      <c r="D60" s="138"/>
      <c r="E60" s="140"/>
      <c r="F60" s="138"/>
      <c r="G60" s="138"/>
      <c r="H60" s="138"/>
    </row>
    <row r="61" spans="1:11" ht="21.6" customHeight="1">
      <c r="A61" s="130" t="s">
        <v>2143</v>
      </c>
      <c r="B61" s="135"/>
      <c r="C61" s="135"/>
      <c r="D61" s="134"/>
      <c r="E61" s="135"/>
      <c r="F61" s="135"/>
      <c r="G61" s="133"/>
      <c r="H61" s="133"/>
    </row>
    <row r="62" spans="1:11" ht="21.6" customHeight="1">
      <c r="A62" s="130" t="s">
        <v>2144</v>
      </c>
      <c r="B62" s="133"/>
      <c r="C62" s="133"/>
      <c r="D62" s="133"/>
      <c r="E62" s="135"/>
      <c r="F62" s="133" t="s">
        <v>2349</v>
      </c>
      <c r="G62" s="133" t="s">
        <v>2349</v>
      </c>
      <c r="H62" s="133" t="s">
        <v>2349</v>
      </c>
    </row>
    <row r="63" spans="1:11" ht="21.6" customHeight="1">
      <c r="A63" s="130" t="s">
        <v>2145</v>
      </c>
      <c r="B63" s="133"/>
      <c r="C63" s="133"/>
      <c r="D63" s="133"/>
      <c r="E63" s="135"/>
      <c r="F63" s="136"/>
      <c r="G63" s="133"/>
      <c r="H63" s="134"/>
    </row>
    <row r="64" spans="1:11" ht="21.6" customHeight="1">
      <c r="A64" s="137" t="s">
        <v>2146</v>
      </c>
      <c r="B64" s="138"/>
      <c r="C64" s="138"/>
      <c r="D64" s="138"/>
      <c r="E64" s="140"/>
      <c r="F64" s="139"/>
      <c r="G64" s="138"/>
      <c r="H64" s="139"/>
    </row>
    <row r="65" spans="1:9" ht="21.6" customHeight="1">
      <c r="A65" s="137" t="s">
        <v>2147</v>
      </c>
      <c r="B65" s="138"/>
      <c r="C65" s="138"/>
      <c r="D65" s="139"/>
      <c r="E65" s="140"/>
      <c r="F65" s="139"/>
      <c r="G65" s="138"/>
      <c r="H65" s="139"/>
    </row>
    <row r="66" spans="1:9" ht="21.6" customHeight="1">
      <c r="A66" s="137" t="s">
        <v>2148</v>
      </c>
      <c r="B66" s="138"/>
      <c r="C66" s="138"/>
      <c r="D66" s="138"/>
      <c r="E66" s="140"/>
      <c r="F66" s="139"/>
      <c r="G66" s="138"/>
      <c r="H66" s="139"/>
    </row>
    <row r="67" spans="1:9" ht="21.6" customHeight="1">
      <c r="A67" s="131"/>
      <c r="B67" s="133"/>
      <c r="C67" s="133"/>
      <c r="D67" s="134"/>
      <c r="E67" s="133"/>
      <c r="F67" s="133"/>
      <c r="G67" s="133"/>
      <c r="H67" s="134"/>
    </row>
    <row r="68" spans="1:9" s="127" customFormat="1" ht="29.25" customHeight="1">
      <c r="A68" s="129" t="s">
        <v>899</v>
      </c>
      <c r="B68" s="126" t="s">
        <v>1503</v>
      </c>
      <c r="C68" s="126" t="s">
        <v>1501</v>
      </c>
      <c r="D68" s="126" t="s">
        <v>1487</v>
      </c>
      <c r="E68" s="126" t="s">
        <v>2346</v>
      </c>
      <c r="F68" s="126" t="s">
        <v>1486</v>
      </c>
      <c r="G68" s="126" t="s">
        <v>1494</v>
      </c>
      <c r="H68" s="126" t="s">
        <v>1493</v>
      </c>
      <c r="I68" s="128"/>
    </row>
    <row r="69" spans="1:9" ht="21.6" customHeight="1">
      <c r="A69" s="130" t="s">
        <v>1490</v>
      </c>
      <c r="B69" s="133"/>
      <c r="C69" s="133"/>
      <c r="D69" s="134"/>
      <c r="E69" s="135"/>
      <c r="F69" s="133" t="s">
        <v>2170</v>
      </c>
      <c r="G69" s="133"/>
      <c r="H69" s="134"/>
    </row>
    <row r="70" spans="1:9" ht="21.6" customHeight="1">
      <c r="A70" s="130" t="s">
        <v>2132</v>
      </c>
      <c r="B70" s="133"/>
      <c r="C70" s="133"/>
      <c r="D70" s="133"/>
      <c r="E70" s="135"/>
      <c r="F70" s="133"/>
      <c r="G70" s="133"/>
      <c r="H70" s="133"/>
    </row>
    <row r="71" spans="1:9" ht="21.6" customHeight="1">
      <c r="A71" s="130" t="s">
        <v>2135</v>
      </c>
      <c r="B71" s="135"/>
      <c r="C71" s="135"/>
      <c r="D71" s="134"/>
      <c r="E71" s="135"/>
      <c r="F71" s="135"/>
      <c r="G71" s="135"/>
      <c r="H71" s="134"/>
    </row>
    <row r="72" spans="1:9" ht="21.6" customHeight="1">
      <c r="A72" s="137" t="s">
        <v>2131</v>
      </c>
      <c r="B72" s="141" t="s">
        <v>2350</v>
      </c>
      <c r="C72" s="140"/>
      <c r="D72" s="138"/>
      <c r="E72" s="140"/>
      <c r="F72" s="141" t="s">
        <v>2155</v>
      </c>
      <c r="G72" s="140" t="s">
        <v>1326</v>
      </c>
      <c r="H72" s="138" t="s">
        <v>2156</v>
      </c>
    </row>
    <row r="73" spans="1:9" ht="21.6" customHeight="1">
      <c r="A73" s="137" t="s">
        <v>2134</v>
      </c>
      <c r="B73" s="140"/>
      <c r="C73" s="140"/>
      <c r="D73" s="139"/>
      <c r="E73" s="140"/>
      <c r="F73" s="140"/>
      <c r="G73" s="140"/>
      <c r="H73" s="139"/>
    </row>
    <row r="74" spans="1:9" ht="21.6" customHeight="1">
      <c r="A74" s="137" t="s">
        <v>2133</v>
      </c>
      <c r="B74" s="138"/>
      <c r="C74" s="138"/>
      <c r="D74" s="138"/>
      <c r="E74" s="140"/>
      <c r="F74" s="138"/>
      <c r="G74" s="138"/>
      <c r="H74" s="138"/>
    </row>
    <row r="75" spans="1:9" ht="21.6" customHeight="1">
      <c r="A75" s="137" t="s">
        <v>2136</v>
      </c>
      <c r="B75" s="138"/>
      <c r="C75" s="138"/>
      <c r="D75" s="139"/>
      <c r="E75" s="140"/>
      <c r="F75" s="138" t="s">
        <v>2176</v>
      </c>
      <c r="G75" s="138" t="s">
        <v>2175</v>
      </c>
      <c r="H75" s="139"/>
    </row>
    <row r="76" spans="1:9" ht="21.6" customHeight="1">
      <c r="A76" s="130" t="s">
        <v>1347</v>
      </c>
      <c r="B76" s="135"/>
      <c r="C76" s="135"/>
      <c r="D76" s="134"/>
      <c r="E76" s="135"/>
      <c r="F76" s="133"/>
      <c r="G76" s="133"/>
      <c r="H76" s="134"/>
    </row>
    <row r="77" spans="1:9" ht="21.6" customHeight="1">
      <c r="A77" s="130" t="s">
        <v>2137</v>
      </c>
      <c r="B77" s="133"/>
      <c r="C77" s="133"/>
      <c r="D77" s="134"/>
      <c r="E77" s="138" t="s">
        <v>2176</v>
      </c>
      <c r="F77" s="138" t="s">
        <v>2176</v>
      </c>
      <c r="G77" s="138" t="s">
        <v>2176</v>
      </c>
      <c r="H77" s="134"/>
    </row>
    <row r="78" spans="1:9" ht="21.6" customHeight="1">
      <c r="A78" s="130" t="s">
        <v>2138</v>
      </c>
      <c r="B78" s="133" t="s">
        <v>1030</v>
      </c>
      <c r="C78" s="133"/>
      <c r="D78" s="134"/>
      <c r="E78" s="135"/>
      <c r="F78" s="133" t="s">
        <v>2349</v>
      </c>
      <c r="G78" s="133"/>
      <c r="H78" s="134"/>
    </row>
    <row r="79" spans="1:9" ht="21.6" customHeight="1">
      <c r="A79" s="130" t="s">
        <v>2139</v>
      </c>
      <c r="B79" s="133" t="s">
        <v>1030</v>
      </c>
      <c r="C79" s="133"/>
      <c r="D79" s="134"/>
      <c r="E79" s="135"/>
      <c r="F79" s="133"/>
      <c r="G79" s="133"/>
      <c r="H79" s="134"/>
    </row>
    <row r="80" spans="1:9" ht="21.6" customHeight="1">
      <c r="A80" s="137" t="s">
        <v>2140</v>
      </c>
      <c r="B80" s="138"/>
      <c r="C80" s="138"/>
      <c r="D80" s="139"/>
      <c r="E80" s="140"/>
      <c r="F80" s="138"/>
      <c r="G80" s="138"/>
      <c r="H80" s="139"/>
    </row>
    <row r="81" spans="1:8" ht="21.6" customHeight="1">
      <c r="A81" s="137" t="s">
        <v>2141</v>
      </c>
      <c r="B81" s="138"/>
      <c r="C81" s="138"/>
      <c r="D81" s="138"/>
      <c r="E81" s="140"/>
      <c r="F81" s="138"/>
      <c r="G81" s="138"/>
      <c r="H81" s="138"/>
    </row>
    <row r="82" spans="1:8" ht="21.6" customHeight="1">
      <c r="A82" s="137" t="s">
        <v>2142</v>
      </c>
      <c r="B82" s="138"/>
      <c r="C82" s="138"/>
      <c r="D82" s="138"/>
      <c r="E82" s="140"/>
      <c r="F82" s="138"/>
      <c r="G82" s="138"/>
      <c r="H82" s="138"/>
    </row>
    <row r="83" spans="1:8" ht="21.6" customHeight="1">
      <c r="A83" s="130" t="s">
        <v>2143</v>
      </c>
      <c r="B83" s="135"/>
      <c r="C83" s="135"/>
      <c r="D83" s="134"/>
      <c r="E83" s="135"/>
      <c r="F83" s="135"/>
      <c r="G83" s="133"/>
      <c r="H83" s="133"/>
    </row>
    <row r="84" spans="1:8" ht="21.6" customHeight="1">
      <c r="A84" s="130" t="s">
        <v>2144</v>
      </c>
      <c r="B84" s="133"/>
      <c r="C84" s="133"/>
      <c r="D84" s="133"/>
      <c r="E84" s="135"/>
      <c r="F84" s="133"/>
      <c r="G84" s="133"/>
      <c r="H84" s="133"/>
    </row>
    <row r="85" spans="1:8" ht="21.6" customHeight="1">
      <c r="A85" s="130" t="s">
        <v>2145</v>
      </c>
      <c r="B85" s="133"/>
      <c r="C85" s="133"/>
      <c r="D85" s="133"/>
      <c r="E85" s="135"/>
      <c r="F85" s="136"/>
      <c r="G85" s="133"/>
      <c r="H85" s="134"/>
    </row>
    <row r="86" spans="1:8" ht="21.6" customHeight="1">
      <c r="A86" s="137" t="s">
        <v>2146</v>
      </c>
      <c r="B86" s="138"/>
      <c r="C86" s="138"/>
      <c r="D86" s="138"/>
      <c r="E86" s="140"/>
      <c r="F86" s="139"/>
      <c r="G86" s="138"/>
      <c r="H86" s="139"/>
    </row>
    <row r="87" spans="1:8" ht="21.6" customHeight="1">
      <c r="A87" s="137" t="s">
        <v>2147</v>
      </c>
      <c r="B87" s="138"/>
      <c r="C87" s="138"/>
      <c r="D87" s="139"/>
      <c r="E87" s="140"/>
      <c r="F87" s="139"/>
      <c r="G87" s="138"/>
      <c r="H87" s="139"/>
    </row>
    <row r="88" spans="1:8" ht="21.6" customHeight="1">
      <c r="A88" s="137" t="s">
        <v>2148</v>
      </c>
      <c r="B88" s="138"/>
      <c r="C88" s="138"/>
      <c r="D88" s="138"/>
      <c r="E88" s="140"/>
      <c r="F88" s="139"/>
      <c r="G88" s="138"/>
      <c r="H88" s="139"/>
    </row>
    <row r="127" spans="5:8" ht="21.6" customHeight="1">
      <c r="E127" s="128" t="s">
        <v>1030</v>
      </c>
      <c r="H127" s="128" t="s">
        <v>1030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C601-FBB1-4977-A5D7-6E7A82B5A108}">
  <sheetPr codeName="Sheet15"/>
  <dimension ref="A1:C127"/>
  <sheetViews>
    <sheetView showGridLines="0" zoomScale="85" zoomScaleNormal="85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F48" sqref="F48"/>
    </sheetView>
  </sheetViews>
  <sheetFormatPr defaultColWidth="18.109375" defaultRowHeight="21.6" customHeight="1"/>
  <cols>
    <col min="1" max="1" width="17.6640625" style="154" customWidth="1"/>
    <col min="2" max="2" width="43.88671875" style="152" customWidth="1"/>
    <col min="3" max="3" width="50.77734375" style="158" customWidth="1"/>
    <col min="4" max="16384" width="18.109375" style="154"/>
  </cols>
  <sheetData>
    <row r="1" spans="1:3" s="152" customFormat="1" ht="26.25" customHeight="1">
      <c r="A1" s="150" t="s">
        <v>2354</v>
      </c>
      <c r="B1" s="151" t="s">
        <v>2352</v>
      </c>
      <c r="C1" s="156" t="s">
        <v>2353</v>
      </c>
    </row>
    <row r="2" spans="1:3" ht="24" customHeight="1">
      <c r="A2" s="149" t="s">
        <v>2355</v>
      </c>
      <c r="B2" s="153" t="s">
        <v>2356</v>
      </c>
      <c r="C2" s="157" t="s">
        <v>2357</v>
      </c>
    </row>
    <row r="3" spans="1:3" ht="21.6" customHeight="1">
      <c r="A3" s="149" t="s">
        <v>2355</v>
      </c>
      <c r="B3" s="153" t="s">
        <v>2358</v>
      </c>
      <c r="C3" s="157" t="s">
        <v>2359</v>
      </c>
    </row>
    <row r="4" spans="1:3" ht="21.6" customHeight="1">
      <c r="A4" s="149" t="s">
        <v>2355</v>
      </c>
      <c r="B4" s="153" t="s">
        <v>2360</v>
      </c>
      <c r="C4" s="157" t="s">
        <v>2361</v>
      </c>
    </row>
    <row r="5" spans="1:3" ht="21.6" customHeight="1">
      <c r="A5" s="149" t="s">
        <v>2355</v>
      </c>
      <c r="B5" s="153" t="s">
        <v>2362</v>
      </c>
      <c r="C5" s="157" t="s">
        <v>2363</v>
      </c>
    </row>
    <row r="6" spans="1:3" ht="21.6" customHeight="1">
      <c r="A6" s="149" t="s">
        <v>2355</v>
      </c>
      <c r="B6" s="153" t="s">
        <v>2364</v>
      </c>
      <c r="C6" s="157" t="s">
        <v>2365</v>
      </c>
    </row>
    <row r="7" spans="1:3" ht="21.6" customHeight="1">
      <c r="A7" s="149" t="s">
        <v>2355</v>
      </c>
      <c r="B7" s="153" t="s">
        <v>2366</v>
      </c>
      <c r="C7" s="157" t="s">
        <v>2367</v>
      </c>
    </row>
    <row r="8" spans="1:3" ht="21.6" customHeight="1">
      <c r="A8" s="149" t="s">
        <v>2355</v>
      </c>
      <c r="B8" s="153" t="s">
        <v>2368</v>
      </c>
      <c r="C8" s="157" t="s">
        <v>2369</v>
      </c>
    </row>
    <row r="9" spans="1:3" ht="21.6" customHeight="1">
      <c r="A9" s="149" t="s">
        <v>2355</v>
      </c>
      <c r="B9" s="153" t="s">
        <v>2370</v>
      </c>
      <c r="C9" s="157" t="s">
        <v>2371</v>
      </c>
    </row>
    <row r="10" spans="1:3" ht="21.6" customHeight="1">
      <c r="A10" s="149" t="s">
        <v>2355</v>
      </c>
      <c r="B10" s="153" t="s">
        <v>2372</v>
      </c>
      <c r="C10" s="157" t="s">
        <v>2373</v>
      </c>
    </row>
    <row r="11" spans="1:3" ht="21.6" customHeight="1">
      <c r="A11" s="149" t="s">
        <v>2355</v>
      </c>
      <c r="B11" s="153" t="s">
        <v>2374</v>
      </c>
      <c r="C11" s="157" t="s">
        <v>2375</v>
      </c>
    </row>
    <row r="12" spans="1:3" ht="21.6" customHeight="1">
      <c r="A12" s="149" t="s">
        <v>2355</v>
      </c>
      <c r="B12" s="153" t="s">
        <v>2376</v>
      </c>
      <c r="C12" s="157" t="s">
        <v>2377</v>
      </c>
    </row>
    <row r="13" spans="1:3" ht="21.6" customHeight="1">
      <c r="A13" s="149" t="s">
        <v>2355</v>
      </c>
      <c r="B13" s="153" t="s">
        <v>2378</v>
      </c>
      <c r="C13" s="157" t="s">
        <v>2379</v>
      </c>
    </row>
    <row r="14" spans="1:3" ht="21.6" customHeight="1">
      <c r="A14" s="149" t="s">
        <v>2355</v>
      </c>
      <c r="B14" s="153" t="s">
        <v>2380</v>
      </c>
      <c r="C14" s="157" t="s">
        <v>2381</v>
      </c>
    </row>
    <row r="15" spans="1:3" ht="21.6" customHeight="1">
      <c r="A15" s="149" t="s">
        <v>2355</v>
      </c>
      <c r="B15" s="153" t="s">
        <v>2382</v>
      </c>
      <c r="C15" s="157" t="s">
        <v>2383</v>
      </c>
    </row>
    <row r="16" spans="1:3" ht="21.6" customHeight="1">
      <c r="A16" s="149" t="s">
        <v>2355</v>
      </c>
      <c r="B16" s="153" t="s">
        <v>2384</v>
      </c>
      <c r="C16" s="157" t="s">
        <v>2385</v>
      </c>
    </row>
    <row r="17" spans="1:3" ht="21.6" customHeight="1">
      <c r="A17" s="149" t="s">
        <v>2355</v>
      </c>
      <c r="B17" s="153" t="s">
        <v>2386</v>
      </c>
      <c r="C17" s="157" t="s">
        <v>2387</v>
      </c>
    </row>
    <row r="18" spans="1:3" ht="21.6" customHeight="1">
      <c r="A18" s="149" t="s">
        <v>2355</v>
      </c>
      <c r="B18" s="153" t="s">
        <v>2388</v>
      </c>
      <c r="C18" s="157" t="s">
        <v>2389</v>
      </c>
    </row>
    <row r="19" spans="1:3" ht="21.6" customHeight="1">
      <c r="A19" s="149" t="s">
        <v>2355</v>
      </c>
      <c r="B19" s="153" t="s">
        <v>2390</v>
      </c>
      <c r="C19" s="157" t="s">
        <v>2391</v>
      </c>
    </row>
    <row r="20" spans="1:3" ht="21.6" customHeight="1">
      <c r="A20" s="149" t="s">
        <v>2355</v>
      </c>
      <c r="B20" s="153" t="s">
        <v>2392</v>
      </c>
      <c r="C20" s="157" t="s">
        <v>2393</v>
      </c>
    </row>
    <row r="21" spans="1:3" ht="21.6" customHeight="1">
      <c r="A21" s="149" t="s">
        <v>2355</v>
      </c>
      <c r="B21" s="153" t="s">
        <v>2394</v>
      </c>
      <c r="C21" s="157" t="s">
        <v>2395</v>
      </c>
    </row>
    <row r="22" spans="1:3" ht="21.6" customHeight="1">
      <c r="A22" s="149" t="s">
        <v>2355</v>
      </c>
      <c r="B22" s="153" t="s">
        <v>2396</v>
      </c>
      <c r="C22" s="157" t="s">
        <v>2397</v>
      </c>
    </row>
    <row r="23" spans="1:3" ht="21.6" customHeight="1">
      <c r="A23" s="149" t="s">
        <v>2355</v>
      </c>
      <c r="B23" s="153" t="s">
        <v>2398</v>
      </c>
      <c r="C23" s="157" t="s">
        <v>2399</v>
      </c>
    </row>
    <row r="24" spans="1:3" ht="21.6" customHeight="1">
      <c r="A24" s="149" t="s">
        <v>2355</v>
      </c>
      <c r="B24" s="153" t="s">
        <v>2400</v>
      </c>
      <c r="C24" s="157" t="s">
        <v>2401</v>
      </c>
    </row>
    <row r="25" spans="1:3" ht="21.6" customHeight="1">
      <c r="A25" s="149" t="s">
        <v>2355</v>
      </c>
      <c r="B25" s="153" t="s">
        <v>2402</v>
      </c>
      <c r="C25" s="157" t="s">
        <v>2403</v>
      </c>
    </row>
    <row r="26" spans="1:3" ht="21.6" customHeight="1">
      <c r="A26" s="149" t="s">
        <v>2355</v>
      </c>
      <c r="B26" s="153" t="s">
        <v>2404</v>
      </c>
      <c r="C26" s="157" t="s">
        <v>2405</v>
      </c>
    </row>
    <row r="27" spans="1:3" ht="21.6" customHeight="1">
      <c r="A27" s="149" t="s">
        <v>2355</v>
      </c>
      <c r="B27" s="153" t="s">
        <v>2406</v>
      </c>
      <c r="C27" s="157" t="s">
        <v>2407</v>
      </c>
    </row>
    <row r="28" spans="1:3" ht="21.6" customHeight="1">
      <c r="A28" s="149" t="s">
        <v>2355</v>
      </c>
      <c r="B28" s="153" t="s">
        <v>2408</v>
      </c>
      <c r="C28" s="157" t="s">
        <v>2409</v>
      </c>
    </row>
    <row r="29" spans="1:3" ht="21.6" customHeight="1">
      <c r="A29" s="149" t="s">
        <v>2355</v>
      </c>
      <c r="B29" s="153" t="s">
        <v>2410</v>
      </c>
      <c r="C29" s="157" t="s">
        <v>2411</v>
      </c>
    </row>
    <row r="30" spans="1:3" ht="21.6" customHeight="1">
      <c r="A30" s="149" t="s">
        <v>2355</v>
      </c>
      <c r="B30" s="153" t="s">
        <v>2412</v>
      </c>
      <c r="C30" s="157" t="s">
        <v>2413</v>
      </c>
    </row>
    <row r="31" spans="1:3" ht="21.6" customHeight="1">
      <c r="A31" s="149" t="s">
        <v>2355</v>
      </c>
      <c r="B31" s="153" t="s">
        <v>2414</v>
      </c>
      <c r="C31" s="157" t="s">
        <v>2415</v>
      </c>
    </row>
    <row r="32" spans="1:3" ht="21.6" customHeight="1">
      <c r="A32" s="149" t="s">
        <v>2355</v>
      </c>
      <c r="B32" s="153" t="s">
        <v>2416</v>
      </c>
      <c r="C32" s="157" t="s">
        <v>2417</v>
      </c>
    </row>
    <row r="33" spans="1:3" ht="21.6" customHeight="1">
      <c r="A33" s="149" t="s">
        <v>2355</v>
      </c>
      <c r="B33" s="153" t="s">
        <v>2418</v>
      </c>
      <c r="C33" s="157" t="s">
        <v>2419</v>
      </c>
    </row>
    <row r="34" spans="1:3" ht="21.6" customHeight="1">
      <c r="A34" s="149" t="s">
        <v>2355</v>
      </c>
      <c r="B34" s="153" t="s">
        <v>2420</v>
      </c>
      <c r="C34" s="157" t="s">
        <v>2421</v>
      </c>
    </row>
    <row r="35" spans="1:3" ht="21.6" customHeight="1">
      <c r="A35" s="149" t="s">
        <v>2355</v>
      </c>
      <c r="B35" s="153" t="s">
        <v>2422</v>
      </c>
      <c r="C35" s="157" t="s">
        <v>2423</v>
      </c>
    </row>
    <row r="36" spans="1:3" ht="21.6" customHeight="1">
      <c r="A36" s="149" t="s">
        <v>2355</v>
      </c>
      <c r="B36" s="153" t="s">
        <v>2424</v>
      </c>
      <c r="C36" s="157" t="s">
        <v>2425</v>
      </c>
    </row>
    <row r="37" spans="1:3" ht="21.6" customHeight="1">
      <c r="A37" s="149" t="s">
        <v>2355</v>
      </c>
      <c r="B37" s="153" t="s">
        <v>2426</v>
      </c>
      <c r="C37" s="157" t="s">
        <v>2427</v>
      </c>
    </row>
    <row r="38" spans="1:3" ht="21.6" customHeight="1">
      <c r="A38" s="149" t="s">
        <v>2355</v>
      </c>
      <c r="B38" s="153" t="s">
        <v>2428</v>
      </c>
      <c r="C38" s="157" t="s">
        <v>2429</v>
      </c>
    </row>
    <row r="39" spans="1:3" ht="21.6" customHeight="1">
      <c r="A39" s="149" t="s">
        <v>2355</v>
      </c>
      <c r="B39" s="153" t="s">
        <v>2430</v>
      </c>
      <c r="C39" s="157" t="s">
        <v>2431</v>
      </c>
    </row>
    <row r="40" spans="1:3" ht="21.6" customHeight="1">
      <c r="A40" s="149" t="s">
        <v>2355</v>
      </c>
      <c r="B40" s="153" t="s">
        <v>2432</v>
      </c>
      <c r="C40" s="157" t="s">
        <v>2433</v>
      </c>
    </row>
    <row r="41" spans="1:3" ht="21.6" customHeight="1">
      <c r="A41" s="149" t="s">
        <v>2355</v>
      </c>
      <c r="B41" s="153" t="s">
        <v>2434</v>
      </c>
      <c r="C41" s="157" t="s">
        <v>2435</v>
      </c>
    </row>
    <row r="42" spans="1:3" ht="21.6" customHeight="1">
      <c r="A42" s="149" t="s">
        <v>2355</v>
      </c>
      <c r="B42" s="153" t="s">
        <v>2436</v>
      </c>
      <c r="C42" s="157" t="s">
        <v>2437</v>
      </c>
    </row>
    <row r="43" spans="1:3" ht="21.6" customHeight="1">
      <c r="A43" s="149" t="s">
        <v>2355</v>
      </c>
      <c r="B43" s="153" t="s">
        <v>2438</v>
      </c>
      <c r="C43" s="157" t="s">
        <v>2439</v>
      </c>
    </row>
    <row r="44" spans="1:3" ht="21.6" customHeight="1">
      <c r="A44" s="149" t="s">
        <v>2355</v>
      </c>
      <c r="B44" s="153" t="s">
        <v>2440</v>
      </c>
      <c r="C44" s="157" t="s">
        <v>2441</v>
      </c>
    </row>
    <row r="45" spans="1:3" ht="21.6" customHeight="1">
      <c r="A45" s="149" t="s">
        <v>2355</v>
      </c>
      <c r="B45" s="153" t="s">
        <v>2442</v>
      </c>
      <c r="C45" s="157" t="s">
        <v>2443</v>
      </c>
    </row>
    <row r="46" spans="1:3" ht="21.6" customHeight="1">
      <c r="A46" s="149" t="s">
        <v>2355</v>
      </c>
      <c r="B46" s="153" t="s">
        <v>2444</v>
      </c>
      <c r="C46" s="157" t="s">
        <v>2445</v>
      </c>
    </row>
    <row r="47" spans="1:3" ht="21.6" customHeight="1">
      <c r="A47" s="149" t="s">
        <v>2355</v>
      </c>
      <c r="B47" s="153" t="s">
        <v>2446</v>
      </c>
      <c r="C47" s="157" t="s">
        <v>2447</v>
      </c>
    </row>
    <row r="48" spans="1:3" ht="21.6" customHeight="1">
      <c r="A48" s="149" t="s">
        <v>2355</v>
      </c>
      <c r="B48" s="153" t="s">
        <v>2448</v>
      </c>
      <c r="C48" s="157" t="s">
        <v>2449</v>
      </c>
    </row>
    <row r="49" spans="1:3" ht="21.6" customHeight="1">
      <c r="A49" s="149" t="s">
        <v>2355</v>
      </c>
      <c r="B49" s="153" t="s">
        <v>2450</v>
      </c>
      <c r="C49" s="157" t="s">
        <v>2451</v>
      </c>
    </row>
    <row r="50" spans="1:3" ht="21.6" customHeight="1">
      <c r="A50" s="149" t="s">
        <v>2355</v>
      </c>
      <c r="B50" s="153" t="s">
        <v>2452</v>
      </c>
      <c r="C50" s="157" t="s">
        <v>2453</v>
      </c>
    </row>
    <row r="51" spans="1:3" ht="21.6" customHeight="1">
      <c r="A51" s="149"/>
      <c r="B51" s="155"/>
      <c r="C51" s="157" t="s">
        <v>1030</v>
      </c>
    </row>
    <row r="52" spans="1:3" ht="21.6" customHeight="1">
      <c r="A52" s="149"/>
      <c r="B52" s="155"/>
      <c r="C52" s="157" t="s">
        <v>1030</v>
      </c>
    </row>
    <row r="53" spans="1:3" ht="21.6" customHeight="1">
      <c r="A53" s="149"/>
      <c r="B53" s="155"/>
      <c r="C53" s="157" t="s">
        <v>1030</v>
      </c>
    </row>
    <row r="54" spans="1:3" ht="21.6" customHeight="1">
      <c r="A54" s="149"/>
      <c r="B54" s="155"/>
      <c r="C54" s="157" t="s">
        <v>1030</v>
      </c>
    </row>
    <row r="55" spans="1:3" ht="21.6" customHeight="1">
      <c r="A55" s="149"/>
      <c r="B55" s="155"/>
      <c r="C55" s="157" t="s">
        <v>1030</v>
      </c>
    </row>
    <row r="56" spans="1:3" ht="21.6" customHeight="1">
      <c r="A56" s="149"/>
      <c r="B56" s="155"/>
      <c r="C56" s="157" t="s">
        <v>1030</v>
      </c>
    </row>
    <row r="57" spans="1:3" ht="21.6" customHeight="1">
      <c r="A57" s="149"/>
      <c r="B57" s="155"/>
      <c r="C57" s="157" t="s">
        <v>1030</v>
      </c>
    </row>
    <row r="58" spans="1:3" ht="21.6" customHeight="1">
      <c r="A58" s="149"/>
      <c r="B58" s="155"/>
      <c r="C58" s="157" t="s">
        <v>1030</v>
      </c>
    </row>
    <row r="59" spans="1:3" ht="21.6" customHeight="1">
      <c r="A59" s="149"/>
      <c r="B59" s="155"/>
      <c r="C59" s="157" t="s">
        <v>1030</v>
      </c>
    </row>
    <row r="60" spans="1:3" ht="21.6" customHeight="1">
      <c r="A60" s="149"/>
      <c r="B60" s="155"/>
      <c r="C60" s="157" t="s">
        <v>1030</v>
      </c>
    </row>
    <row r="61" spans="1:3" ht="21.6" customHeight="1">
      <c r="A61" s="149"/>
      <c r="B61" s="155"/>
      <c r="C61" s="157" t="s">
        <v>1030</v>
      </c>
    </row>
    <row r="62" spans="1:3" ht="21.6" customHeight="1">
      <c r="A62" s="149"/>
      <c r="B62" s="155"/>
      <c r="C62" s="157" t="s">
        <v>1030</v>
      </c>
    </row>
    <row r="63" spans="1:3" ht="21.6" customHeight="1">
      <c r="A63" s="149"/>
      <c r="B63" s="155"/>
      <c r="C63" s="157" t="s">
        <v>1030</v>
      </c>
    </row>
    <row r="64" spans="1:3" ht="21.6" customHeight="1">
      <c r="A64" s="149"/>
      <c r="B64" s="155"/>
      <c r="C64" s="157" t="s">
        <v>1030</v>
      </c>
    </row>
    <row r="65" spans="1:3" ht="21.6" customHeight="1">
      <c r="A65" s="149"/>
      <c r="B65" s="155"/>
      <c r="C65" s="157" t="s">
        <v>1030</v>
      </c>
    </row>
    <row r="66" spans="1:3" ht="21.6" customHeight="1">
      <c r="A66" s="149"/>
      <c r="B66" s="155"/>
      <c r="C66" s="157" t="s">
        <v>1030</v>
      </c>
    </row>
    <row r="67" spans="1:3" ht="21.6" customHeight="1">
      <c r="A67" s="149"/>
      <c r="B67" s="155"/>
      <c r="C67" s="157" t="s">
        <v>1030</v>
      </c>
    </row>
    <row r="68" spans="1:3" ht="21.6" customHeight="1">
      <c r="A68" s="149"/>
      <c r="B68" s="155"/>
      <c r="C68" s="157" t="s">
        <v>1030</v>
      </c>
    </row>
    <row r="69" spans="1:3" ht="21.6" customHeight="1">
      <c r="A69" s="149"/>
      <c r="B69" s="155"/>
      <c r="C69" s="157" t="s">
        <v>1030</v>
      </c>
    </row>
    <row r="70" spans="1:3" ht="21.6" customHeight="1">
      <c r="A70" s="149"/>
      <c r="B70" s="155"/>
      <c r="C70" s="157" t="s">
        <v>1030</v>
      </c>
    </row>
    <row r="71" spans="1:3" ht="21.6" customHeight="1">
      <c r="A71" s="149"/>
      <c r="B71" s="155"/>
      <c r="C71" s="157" t="s">
        <v>1030</v>
      </c>
    </row>
    <row r="72" spans="1:3" ht="21.6" customHeight="1">
      <c r="A72" s="149"/>
      <c r="B72" s="155"/>
      <c r="C72" s="157" t="s">
        <v>1030</v>
      </c>
    </row>
    <row r="73" spans="1:3" ht="21.6" customHeight="1">
      <c r="A73" s="149"/>
      <c r="B73" s="155"/>
      <c r="C73" s="157" t="s">
        <v>1030</v>
      </c>
    </row>
    <row r="74" spans="1:3" ht="21.6" customHeight="1">
      <c r="A74" s="149"/>
      <c r="B74" s="155"/>
      <c r="C74" s="157" t="s">
        <v>1030</v>
      </c>
    </row>
    <row r="75" spans="1:3" ht="21.6" customHeight="1">
      <c r="A75" s="149"/>
      <c r="B75" s="155"/>
      <c r="C75" s="157" t="s">
        <v>1030</v>
      </c>
    </row>
    <row r="76" spans="1:3" ht="21.6" customHeight="1">
      <c r="A76" s="149"/>
      <c r="B76" s="155"/>
      <c r="C76" s="157" t="s">
        <v>1030</v>
      </c>
    </row>
    <row r="77" spans="1:3" ht="21.6" customHeight="1">
      <c r="A77" s="149"/>
      <c r="B77" s="155"/>
      <c r="C77" s="157" t="s">
        <v>1030</v>
      </c>
    </row>
    <row r="78" spans="1:3" ht="21.6" customHeight="1">
      <c r="A78" s="149"/>
      <c r="B78" s="155"/>
      <c r="C78" s="157" t="s">
        <v>1030</v>
      </c>
    </row>
    <row r="79" spans="1:3" ht="21.6" customHeight="1">
      <c r="A79" s="149"/>
      <c r="B79" s="155"/>
      <c r="C79" s="157" t="s">
        <v>1030</v>
      </c>
    </row>
    <row r="80" spans="1:3" ht="21.6" customHeight="1">
      <c r="A80" s="149"/>
      <c r="B80" s="155"/>
      <c r="C80" s="157" t="s">
        <v>1030</v>
      </c>
    </row>
    <row r="81" spans="1:3" ht="21.6" customHeight="1">
      <c r="A81" s="149"/>
      <c r="B81" s="155"/>
      <c r="C81" s="157" t="s">
        <v>1030</v>
      </c>
    </row>
    <row r="82" spans="1:3" ht="21.6" customHeight="1">
      <c r="A82" s="149"/>
      <c r="B82" s="155"/>
      <c r="C82" s="157" t="s">
        <v>1030</v>
      </c>
    </row>
    <row r="83" spans="1:3" ht="21.6" customHeight="1">
      <c r="A83" s="149"/>
      <c r="B83" s="155"/>
      <c r="C83" s="157" t="s">
        <v>1030</v>
      </c>
    </row>
    <row r="84" spans="1:3" ht="21.6" customHeight="1">
      <c r="A84" s="149"/>
      <c r="B84" s="155"/>
      <c r="C84" s="157" t="s">
        <v>1030</v>
      </c>
    </row>
    <row r="85" spans="1:3" ht="21.6" customHeight="1">
      <c r="A85" s="149"/>
      <c r="B85" s="155"/>
      <c r="C85" s="157" t="s">
        <v>1030</v>
      </c>
    </row>
    <row r="86" spans="1:3" ht="21.6" customHeight="1">
      <c r="A86" s="149"/>
      <c r="B86" s="155"/>
      <c r="C86" s="157" t="s">
        <v>1030</v>
      </c>
    </row>
    <row r="87" spans="1:3" ht="21.6" customHeight="1">
      <c r="A87" s="149"/>
      <c r="B87" s="155"/>
      <c r="C87" s="157" t="s">
        <v>1030</v>
      </c>
    </row>
    <row r="88" spans="1:3" ht="21.6" customHeight="1">
      <c r="A88" s="149"/>
      <c r="B88" s="155"/>
      <c r="C88" s="157" t="s">
        <v>1030</v>
      </c>
    </row>
    <row r="89" spans="1:3" ht="21.6" customHeight="1">
      <c r="A89" s="149"/>
      <c r="B89" s="155"/>
      <c r="C89" s="157" t="s">
        <v>1030</v>
      </c>
    </row>
    <row r="90" spans="1:3" ht="21.6" customHeight="1">
      <c r="A90" s="149"/>
      <c r="B90" s="155"/>
      <c r="C90" s="157" t="s">
        <v>1030</v>
      </c>
    </row>
    <row r="91" spans="1:3" ht="21.6" customHeight="1">
      <c r="A91" s="149"/>
      <c r="B91" s="155"/>
      <c r="C91" s="157" t="s">
        <v>1030</v>
      </c>
    </row>
    <row r="92" spans="1:3" ht="21.6" customHeight="1">
      <c r="A92" s="149"/>
      <c r="B92" s="155"/>
      <c r="C92" s="157" t="s">
        <v>1030</v>
      </c>
    </row>
    <row r="93" spans="1:3" ht="21.6" customHeight="1">
      <c r="A93" s="149"/>
      <c r="B93" s="155"/>
      <c r="C93" s="157" t="s">
        <v>1030</v>
      </c>
    </row>
    <row r="94" spans="1:3" ht="21.6" customHeight="1">
      <c r="A94" s="149"/>
      <c r="B94" s="155"/>
      <c r="C94" s="157" t="s">
        <v>1030</v>
      </c>
    </row>
    <row r="95" spans="1:3" ht="21.6" customHeight="1">
      <c r="A95" s="149"/>
      <c r="B95" s="155"/>
      <c r="C95" s="157" t="s">
        <v>1030</v>
      </c>
    </row>
    <row r="96" spans="1:3" ht="21.6" customHeight="1">
      <c r="A96" s="149"/>
      <c r="B96" s="155"/>
      <c r="C96" s="157" t="s">
        <v>1030</v>
      </c>
    </row>
    <row r="97" spans="1:3" ht="21.6" customHeight="1">
      <c r="A97" s="149"/>
      <c r="B97" s="155"/>
      <c r="C97" s="157" t="s">
        <v>1030</v>
      </c>
    </row>
    <row r="98" spans="1:3" ht="21.6" customHeight="1">
      <c r="A98" s="149"/>
      <c r="B98" s="155"/>
      <c r="C98" s="157" t="s">
        <v>1030</v>
      </c>
    </row>
    <row r="99" spans="1:3" ht="21.6" customHeight="1">
      <c r="A99" s="149"/>
      <c r="B99" s="155"/>
      <c r="C99" s="157" t="s">
        <v>1030</v>
      </c>
    </row>
    <row r="100" spans="1:3" ht="21.6" customHeight="1">
      <c r="A100" s="149"/>
      <c r="B100" s="155"/>
      <c r="C100" s="157" t="s">
        <v>1030</v>
      </c>
    </row>
    <row r="101" spans="1:3" ht="21.6" customHeight="1">
      <c r="A101" s="149"/>
      <c r="B101" s="155"/>
      <c r="C101" s="157" t="s">
        <v>1030</v>
      </c>
    </row>
    <row r="102" spans="1:3" ht="21.6" customHeight="1">
      <c r="A102" s="149"/>
      <c r="B102" s="155"/>
      <c r="C102" s="157" t="s">
        <v>1030</v>
      </c>
    </row>
    <row r="103" spans="1:3" ht="21.6" customHeight="1">
      <c r="A103" s="149"/>
      <c r="B103" s="155"/>
      <c r="C103" s="157" t="s">
        <v>1030</v>
      </c>
    </row>
    <row r="104" spans="1:3" ht="21.6" customHeight="1">
      <c r="A104" s="149"/>
      <c r="B104" s="155"/>
      <c r="C104" s="157" t="s">
        <v>1030</v>
      </c>
    </row>
    <row r="105" spans="1:3" ht="21.6" customHeight="1">
      <c r="A105" s="149"/>
      <c r="B105" s="155"/>
      <c r="C105" s="157" t="s">
        <v>1030</v>
      </c>
    </row>
    <row r="106" spans="1:3" ht="21.6" customHeight="1">
      <c r="A106" s="149"/>
      <c r="B106" s="155"/>
      <c r="C106" s="157" t="s">
        <v>1030</v>
      </c>
    </row>
    <row r="107" spans="1:3" ht="21.6" customHeight="1">
      <c r="A107" s="149"/>
      <c r="B107" s="155"/>
      <c r="C107" s="157" t="s">
        <v>1030</v>
      </c>
    </row>
    <row r="108" spans="1:3" ht="21.6" customHeight="1">
      <c r="A108" s="149"/>
      <c r="B108" s="155"/>
      <c r="C108" s="157" t="s">
        <v>1030</v>
      </c>
    </row>
    <row r="109" spans="1:3" ht="21.6" customHeight="1">
      <c r="A109" s="149"/>
      <c r="B109" s="155"/>
      <c r="C109" s="157" t="s">
        <v>1030</v>
      </c>
    </row>
    <row r="110" spans="1:3" ht="21.6" customHeight="1">
      <c r="A110" s="149"/>
      <c r="B110" s="155"/>
      <c r="C110" s="157" t="s">
        <v>1030</v>
      </c>
    </row>
    <row r="111" spans="1:3" ht="21.6" customHeight="1">
      <c r="A111" s="149"/>
      <c r="B111" s="155"/>
      <c r="C111" s="157" t="s">
        <v>1030</v>
      </c>
    </row>
    <row r="112" spans="1:3" ht="21.6" customHeight="1">
      <c r="A112" s="149"/>
      <c r="B112" s="155"/>
      <c r="C112" s="157" t="s">
        <v>1030</v>
      </c>
    </row>
    <row r="113" spans="1:3" ht="21.6" customHeight="1">
      <c r="A113" s="149"/>
      <c r="B113" s="155"/>
      <c r="C113" s="157" t="s">
        <v>1030</v>
      </c>
    </row>
    <row r="114" spans="1:3" ht="21.6" customHeight="1">
      <c r="A114" s="149"/>
      <c r="B114" s="155"/>
      <c r="C114" s="157" t="s">
        <v>1030</v>
      </c>
    </row>
    <row r="115" spans="1:3" ht="21.6" customHeight="1">
      <c r="A115" s="149"/>
      <c r="B115" s="155"/>
      <c r="C115" s="157" t="s">
        <v>1030</v>
      </c>
    </row>
    <row r="116" spans="1:3" ht="21.6" customHeight="1">
      <c r="A116" s="149"/>
      <c r="B116" s="155"/>
      <c r="C116" s="157" t="s">
        <v>1030</v>
      </c>
    </row>
    <row r="117" spans="1:3" ht="21.6" customHeight="1">
      <c r="A117" s="149"/>
      <c r="B117" s="155"/>
      <c r="C117" s="157" t="s">
        <v>1030</v>
      </c>
    </row>
    <row r="118" spans="1:3" ht="21.6" customHeight="1">
      <c r="A118" s="149"/>
      <c r="B118" s="155"/>
      <c r="C118" s="157" t="s">
        <v>1030</v>
      </c>
    </row>
    <row r="119" spans="1:3" ht="21.6" customHeight="1">
      <c r="A119" s="149"/>
      <c r="B119" s="155"/>
      <c r="C119" s="157" t="s">
        <v>1030</v>
      </c>
    </row>
    <row r="120" spans="1:3" ht="21.6" customHeight="1">
      <c r="A120" s="149"/>
      <c r="B120" s="155"/>
      <c r="C120" s="157" t="s">
        <v>1030</v>
      </c>
    </row>
    <row r="121" spans="1:3" ht="21.6" customHeight="1">
      <c r="A121" s="149"/>
      <c r="B121" s="155"/>
      <c r="C121" s="157" t="s">
        <v>1030</v>
      </c>
    </row>
    <row r="122" spans="1:3" ht="21.6" customHeight="1">
      <c r="A122" s="149"/>
      <c r="B122" s="155"/>
      <c r="C122" s="157" t="s">
        <v>1030</v>
      </c>
    </row>
    <row r="123" spans="1:3" ht="21.6" customHeight="1">
      <c r="A123" s="149"/>
      <c r="B123" s="155"/>
      <c r="C123" s="157" t="s">
        <v>1030</v>
      </c>
    </row>
    <row r="124" spans="1:3" ht="21.6" customHeight="1">
      <c r="A124" s="149"/>
      <c r="B124" s="155"/>
      <c r="C124" s="157" t="s">
        <v>1030</v>
      </c>
    </row>
    <row r="125" spans="1:3" ht="21.6" customHeight="1">
      <c r="A125" s="149"/>
      <c r="B125" s="155"/>
      <c r="C125" s="157" t="s">
        <v>1030</v>
      </c>
    </row>
    <row r="126" spans="1:3" ht="21.6" customHeight="1">
      <c r="A126" s="149"/>
      <c r="B126" s="155"/>
      <c r="C126" s="157" t="s">
        <v>1030</v>
      </c>
    </row>
    <row r="127" spans="1:3" ht="21.6" customHeight="1">
      <c r="A127" s="149"/>
      <c r="B127" s="155"/>
      <c r="C127" s="157" t="s">
        <v>1030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F1797-AB79-4A6C-8FF9-0A1D0D550BD5}">
  <sheetPr codeName="Sheet16"/>
  <dimension ref="A1"/>
  <sheetViews>
    <sheetView workbookViewId="0">
      <selection activeCell="G35" sqref="G35"/>
    </sheetView>
  </sheetViews>
  <sheetFormatPr defaultRowHeight="13.8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7A25-34A1-4F9B-815E-68FDC88DA257}">
  <sheetPr codeName="Sheet17"/>
  <dimension ref="A1:C80"/>
  <sheetViews>
    <sheetView workbookViewId="0">
      <selection activeCell="D10" sqref="D10"/>
    </sheetView>
  </sheetViews>
  <sheetFormatPr defaultRowHeight="13.8"/>
  <cols>
    <col min="1" max="1" width="25.44140625" customWidth="1"/>
    <col min="2" max="2" width="20.88671875" style="143" customWidth="1"/>
    <col min="3" max="3" width="44.44140625" customWidth="1"/>
  </cols>
  <sheetData>
    <row r="1" spans="1:3" s="146" customFormat="1" ht="29.25" customHeight="1">
      <c r="A1" s="144" t="s">
        <v>2185</v>
      </c>
      <c r="B1" s="145" t="s">
        <v>163</v>
      </c>
      <c r="C1" s="145" t="s">
        <v>2186</v>
      </c>
    </row>
    <row r="2" spans="1:3" s="136" customFormat="1" ht="21.6" customHeight="1">
      <c r="A2" s="134" t="s">
        <v>2266</v>
      </c>
      <c r="B2" s="133">
        <v>300</v>
      </c>
      <c r="C2" s="133" t="s">
        <v>2187</v>
      </c>
    </row>
    <row r="3" spans="1:3" s="136" customFormat="1" ht="21.6" customHeight="1">
      <c r="A3" s="134" t="s">
        <v>2267</v>
      </c>
      <c r="B3" s="133">
        <v>301</v>
      </c>
      <c r="C3" s="133" t="s">
        <v>2188</v>
      </c>
    </row>
    <row r="4" spans="1:3" s="136" customFormat="1" ht="21.6" customHeight="1">
      <c r="A4" s="134" t="s">
        <v>2268</v>
      </c>
      <c r="B4" s="133">
        <v>302</v>
      </c>
      <c r="C4" s="133" t="s">
        <v>2189</v>
      </c>
    </row>
    <row r="5" spans="1:3" s="136" customFormat="1" ht="21.6" customHeight="1">
      <c r="A5" s="134" t="s">
        <v>2269</v>
      </c>
      <c r="B5" s="133">
        <v>303</v>
      </c>
      <c r="C5" s="133" t="s">
        <v>2190</v>
      </c>
    </row>
    <row r="6" spans="1:3" s="136" customFormat="1" ht="21.6" customHeight="1">
      <c r="A6" s="134" t="s">
        <v>2270</v>
      </c>
      <c r="B6" s="133">
        <v>304</v>
      </c>
      <c r="C6" s="133" t="s">
        <v>2191</v>
      </c>
    </row>
    <row r="7" spans="1:3" s="136" customFormat="1" ht="21.6" customHeight="1">
      <c r="A7" s="134" t="s">
        <v>2271</v>
      </c>
      <c r="B7" s="133">
        <v>306</v>
      </c>
      <c r="C7" s="133" t="s">
        <v>2192</v>
      </c>
    </row>
    <row r="8" spans="1:3" s="136" customFormat="1" ht="21.6" customHeight="1">
      <c r="A8" s="134" t="s">
        <v>2272</v>
      </c>
      <c r="B8" s="133">
        <v>307</v>
      </c>
      <c r="C8" s="133" t="s">
        <v>2193</v>
      </c>
    </row>
    <row r="9" spans="1:3" s="136" customFormat="1" ht="21.6" customHeight="1">
      <c r="A9" s="134" t="s">
        <v>2273</v>
      </c>
      <c r="B9" s="133">
        <v>311</v>
      </c>
      <c r="C9" s="133" t="s">
        <v>2194</v>
      </c>
    </row>
    <row r="10" spans="1:3" s="136" customFormat="1" ht="21.6" customHeight="1">
      <c r="A10" s="134" t="s">
        <v>2274</v>
      </c>
      <c r="B10" s="133">
        <v>312</v>
      </c>
      <c r="C10" s="133" t="s">
        <v>2195</v>
      </c>
    </row>
    <row r="11" spans="1:3" s="136" customFormat="1" ht="21.6" customHeight="1">
      <c r="A11" s="134" t="s">
        <v>2275</v>
      </c>
      <c r="B11" s="133">
        <v>313</v>
      </c>
      <c r="C11" s="133" t="s">
        <v>2196</v>
      </c>
    </row>
    <row r="12" spans="1:3" s="136" customFormat="1" ht="21.6" customHeight="1">
      <c r="A12" s="134" t="s">
        <v>2276</v>
      </c>
      <c r="B12" s="133">
        <v>314</v>
      </c>
      <c r="C12" s="133" t="s">
        <v>2197</v>
      </c>
    </row>
    <row r="13" spans="1:3" s="136" customFormat="1" ht="21.6" customHeight="1">
      <c r="A13" s="134" t="s">
        <v>2277</v>
      </c>
      <c r="B13" s="133">
        <v>321</v>
      </c>
      <c r="C13" s="133" t="s">
        <v>2198</v>
      </c>
    </row>
    <row r="14" spans="1:3" s="136" customFormat="1" ht="21.6" customHeight="1">
      <c r="A14" s="134" t="s">
        <v>2278</v>
      </c>
      <c r="B14" s="133">
        <v>322</v>
      </c>
      <c r="C14" s="133" t="s">
        <v>2199</v>
      </c>
    </row>
    <row r="15" spans="1:3" s="136" customFormat="1" ht="21.6" customHeight="1">
      <c r="A15" s="134" t="s">
        <v>2279</v>
      </c>
      <c r="B15" s="133">
        <v>323</v>
      </c>
      <c r="C15" s="133" t="s">
        <v>2200</v>
      </c>
    </row>
    <row r="16" spans="1:3" s="136" customFormat="1" ht="21.6" customHeight="1">
      <c r="A16" s="134" t="s">
        <v>2280</v>
      </c>
      <c r="B16" s="133">
        <v>324</v>
      </c>
      <c r="C16" s="133" t="s">
        <v>2201</v>
      </c>
    </row>
    <row r="17" spans="1:3" s="136" customFormat="1" ht="21.6" customHeight="1">
      <c r="A17" s="134" t="s">
        <v>2281</v>
      </c>
      <c r="B17" s="133">
        <v>325</v>
      </c>
      <c r="C17" s="133" t="s">
        <v>2202</v>
      </c>
    </row>
    <row r="18" spans="1:3" s="136" customFormat="1" ht="21.6" customHeight="1">
      <c r="A18" s="134" t="s">
        <v>2282</v>
      </c>
      <c r="B18" s="133">
        <v>330</v>
      </c>
      <c r="C18" s="133" t="s">
        <v>2203</v>
      </c>
    </row>
    <row r="19" spans="1:3" s="136" customFormat="1" ht="21.6" customHeight="1">
      <c r="A19" s="134" t="s">
        <v>2283</v>
      </c>
      <c r="B19" s="133">
        <v>331</v>
      </c>
      <c r="C19" s="133" t="s">
        <v>2204</v>
      </c>
    </row>
    <row r="20" spans="1:3" s="136" customFormat="1" ht="21.6" customHeight="1">
      <c r="A20" s="134" t="s">
        <v>2284</v>
      </c>
      <c r="B20" s="133">
        <v>269</v>
      </c>
      <c r="C20" s="133" t="s">
        <v>2205</v>
      </c>
    </row>
    <row r="21" spans="1:3" s="136" customFormat="1" ht="21.6" customHeight="1">
      <c r="A21" s="134" t="s">
        <v>2285</v>
      </c>
      <c r="B21" s="133">
        <v>270</v>
      </c>
      <c r="C21" s="133" t="s">
        <v>2206</v>
      </c>
    </row>
    <row r="22" spans="1:3" s="136" customFormat="1" ht="21.6" customHeight="1">
      <c r="A22" s="134" t="s">
        <v>2286</v>
      </c>
      <c r="B22" s="133">
        <v>332</v>
      </c>
      <c r="C22" s="133" t="s">
        <v>2207</v>
      </c>
    </row>
    <row r="23" spans="1:3" s="136" customFormat="1" ht="21.6" customHeight="1">
      <c r="A23" s="134" t="s">
        <v>2287</v>
      </c>
      <c r="B23" s="133">
        <v>333</v>
      </c>
      <c r="C23" s="133" t="s">
        <v>2208</v>
      </c>
    </row>
    <row r="24" spans="1:3" s="136" customFormat="1" ht="21.6" customHeight="1">
      <c r="A24" s="134" t="s">
        <v>2288</v>
      </c>
      <c r="B24" s="133">
        <v>100</v>
      </c>
      <c r="C24" s="133" t="s">
        <v>2209</v>
      </c>
    </row>
    <row r="25" spans="1:3" s="136" customFormat="1" ht="21.6" customHeight="1">
      <c r="A25" s="134" t="s">
        <v>2289</v>
      </c>
      <c r="B25" s="133">
        <v>101</v>
      </c>
      <c r="C25" s="133" t="s">
        <v>2210</v>
      </c>
    </row>
    <row r="26" spans="1:3" s="136" customFormat="1" ht="21.6" customHeight="1">
      <c r="A26" s="134" t="s">
        <v>2290</v>
      </c>
      <c r="B26" s="133">
        <v>102</v>
      </c>
      <c r="C26" s="133" t="s">
        <v>2211</v>
      </c>
    </row>
    <row r="27" spans="1:3" s="136" customFormat="1" ht="21.6" customHeight="1">
      <c r="A27" s="134" t="s">
        <v>2291</v>
      </c>
      <c r="B27" s="133">
        <v>103</v>
      </c>
      <c r="C27" s="133" t="s">
        <v>2212</v>
      </c>
    </row>
    <row r="28" spans="1:3" s="136" customFormat="1" ht="21.6" customHeight="1">
      <c r="A28" s="134" t="s">
        <v>2292</v>
      </c>
      <c r="B28" s="133">
        <v>104</v>
      </c>
      <c r="C28" s="133" t="s">
        <v>2213</v>
      </c>
    </row>
    <row r="29" spans="1:3" s="136" customFormat="1" ht="21.6" customHeight="1">
      <c r="A29" s="134" t="s">
        <v>2293</v>
      </c>
      <c r="B29" s="133">
        <v>106</v>
      </c>
      <c r="C29" s="133" t="s">
        <v>2214</v>
      </c>
    </row>
    <row r="30" spans="1:3" s="136" customFormat="1" ht="21.6" customHeight="1">
      <c r="A30" s="134" t="s">
        <v>2294</v>
      </c>
      <c r="B30" s="133">
        <v>107</v>
      </c>
      <c r="C30" s="133" t="s">
        <v>2215</v>
      </c>
    </row>
    <row r="31" spans="1:3" s="136" customFormat="1" ht="21.6" customHeight="1">
      <c r="A31" s="134" t="s">
        <v>2295</v>
      </c>
      <c r="B31" s="133">
        <v>111</v>
      </c>
      <c r="C31" s="133" t="s">
        <v>2216</v>
      </c>
    </row>
    <row r="32" spans="1:3" s="136" customFormat="1" ht="21.6" customHeight="1">
      <c r="A32" s="134" t="s">
        <v>2296</v>
      </c>
      <c r="B32" s="133">
        <v>112</v>
      </c>
      <c r="C32" s="133" t="s">
        <v>2217</v>
      </c>
    </row>
    <row r="33" spans="1:3" s="136" customFormat="1" ht="21.6" customHeight="1">
      <c r="A33" s="134" t="s">
        <v>2297</v>
      </c>
      <c r="B33" s="133">
        <v>113</v>
      </c>
      <c r="C33" s="133" t="s">
        <v>2218</v>
      </c>
    </row>
    <row r="34" spans="1:3" s="136" customFormat="1" ht="21.6" customHeight="1">
      <c r="A34" s="134" t="s">
        <v>2298</v>
      </c>
      <c r="B34" s="133">
        <v>114</v>
      </c>
      <c r="C34" s="133" t="s">
        <v>2219</v>
      </c>
    </row>
    <row r="35" spans="1:3" s="136" customFormat="1" ht="21.6" customHeight="1">
      <c r="A35" s="134" t="s">
        <v>2299</v>
      </c>
      <c r="B35" s="133">
        <v>121</v>
      </c>
      <c r="C35" s="133" t="s">
        <v>2220</v>
      </c>
    </row>
    <row r="36" spans="1:3" s="136" customFormat="1" ht="21.6" customHeight="1">
      <c r="A36" s="134" t="s">
        <v>2300</v>
      </c>
      <c r="B36" s="133">
        <v>122</v>
      </c>
      <c r="C36" s="133" t="s">
        <v>2221</v>
      </c>
    </row>
    <row r="37" spans="1:3" s="136" customFormat="1" ht="21.6" customHeight="1">
      <c r="A37" s="134" t="s">
        <v>2301</v>
      </c>
      <c r="B37" s="133">
        <v>123</v>
      </c>
      <c r="C37" s="133" t="s">
        <v>2222</v>
      </c>
    </row>
    <row r="38" spans="1:3" s="136" customFormat="1" ht="21.6" customHeight="1">
      <c r="A38" s="134" t="s">
        <v>2302</v>
      </c>
      <c r="B38" s="133">
        <v>124</v>
      </c>
      <c r="C38" s="133" t="s">
        <v>2223</v>
      </c>
    </row>
    <row r="39" spans="1:3" s="136" customFormat="1" ht="21.6" customHeight="1">
      <c r="A39" s="134" t="s">
        <v>2303</v>
      </c>
      <c r="B39" s="133">
        <v>125</v>
      </c>
      <c r="C39" s="133" t="s">
        <v>2224</v>
      </c>
    </row>
    <row r="40" spans="1:3" s="136" customFormat="1" ht="21.6" customHeight="1">
      <c r="A40" s="134" t="s">
        <v>2304</v>
      </c>
      <c r="B40" s="133">
        <v>130</v>
      </c>
      <c r="C40" s="133" t="s">
        <v>2225</v>
      </c>
    </row>
    <row r="41" spans="1:3" s="136" customFormat="1" ht="21.6" customHeight="1">
      <c r="A41" s="134" t="s">
        <v>2305</v>
      </c>
      <c r="B41" s="133">
        <v>131</v>
      </c>
      <c r="C41" s="133" t="s">
        <v>2226</v>
      </c>
    </row>
    <row r="42" spans="1:3" s="136" customFormat="1" ht="21.6" customHeight="1">
      <c r="A42" s="134" t="s">
        <v>2306</v>
      </c>
      <c r="B42" s="133">
        <v>132</v>
      </c>
      <c r="C42" s="133" t="s">
        <v>2227</v>
      </c>
    </row>
    <row r="43" spans="1:3" s="136" customFormat="1" ht="21.6" customHeight="1">
      <c r="A43" s="134" t="s">
        <v>2307</v>
      </c>
      <c r="B43" s="133">
        <v>2034</v>
      </c>
      <c r="C43" s="133" t="s">
        <v>2228</v>
      </c>
    </row>
    <row r="44" spans="1:3" s="136" customFormat="1" ht="21.6" customHeight="1">
      <c r="A44" s="134" t="s">
        <v>2308</v>
      </c>
      <c r="B44" s="133">
        <v>2047</v>
      </c>
      <c r="C44" s="133" t="s">
        <v>2229</v>
      </c>
    </row>
    <row r="45" spans="1:3" s="136" customFormat="1" ht="21.6" customHeight="1">
      <c r="A45" s="134" t="s">
        <v>2309</v>
      </c>
      <c r="B45" s="133">
        <v>69</v>
      </c>
      <c r="C45" s="133" t="s">
        <v>2230</v>
      </c>
    </row>
    <row r="46" spans="1:3" s="136" customFormat="1" ht="21.6" customHeight="1">
      <c r="A46" s="134" t="s">
        <v>2310</v>
      </c>
      <c r="B46" s="133">
        <v>70</v>
      </c>
      <c r="C46" s="133" t="s">
        <v>2231</v>
      </c>
    </row>
    <row r="47" spans="1:3" s="136" customFormat="1" ht="21.6" customHeight="1">
      <c r="A47" s="134" t="s">
        <v>2311</v>
      </c>
      <c r="B47" s="133">
        <v>133</v>
      </c>
      <c r="C47" s="133" t="s">
        <v>2232</v>
      </c>
    </row>
    <row r="48" spans="1:3" s="136" customFormat="1" ht="21.6" customHeight="1">
      <c r="A48" s="134" t="s">
        <v>2312</v>
      </c>
      <c r="B48" s="133">
        <v>200</v>
      </c>
      <c r="C48" s="133" t="s">
        <v>2233</v>
      </c>
    </row>
    <row r="49" spans="1:3" s="136" customFormat="1" ht="21.6" customHeight="1">
      <c r="A49" s="134" t="s">
        <v>2313</v>
      </c>
      <c r="B49" s="133">
        <v>201</v>
      </c>
      <c r="C49" s="133" t="s">
        <v>2234</v>
      </c>
    </row>
    <row r="50" spans="1:3" s="136" customFormat="1" ht="21.6" customHeight="1">
      <c r="A50" s="134" t="s">
        <v>2314</v>
      </c>
      <c r="B50" s="133">
        <v>202</v>
      </c>
      <c r="C50" s="133" t="s">
        <v>2235</v>
      </c>
    </row>
    <row r="51" spans="1:3" s="136" customFormat="1" ht="21.6" customHeight="1">
      <c r="A51" s="134" t="s">
        <v>2315</v>
      </c>
      <c r="B51" s="133">
        <v>203</v>
      </c>
      <c r="C51" s="133" t="s">
        <v>2236</v>
      </c>
    </row>
    <row r="52" spans="1:3" s="136" customFormat="1" ht="21.6" customHeight="1">
      <c r="A52" s="134" t="s">
        <v>2316</v>
      </c>
      <c r="B52" s="133">
        <v>204</v>
      </c>
      <c r="C52" s="133" t="s">
        <v>2237</v>
      </c>
    </row>
    <row r="53" spans="1:3" s="136" customFormat="1" ht="21.6" customHeight="1">
      <c r="A53" s="134" t="s">
        <v>2317</v>
      </c>
      <c r="B53" s="133">
        <v>206</v>
      </c>
      <c r="C53" s="133" t="s">
        <v>2238</v>
      </c>
    </row>
    <row r="54" spans="1:3" s="136" customFormat="1" ht="21.6" customHeight="1">
      <c r="A54" s="134" t="s">
        <v>2318</v>
      </c>
      <c r="B54" s="133">
        <v>207</v>
      </c>
      <c r="C54" s="133" t="s">
        <v>2239</v>
      </c>
    </row>
    <row r="55" spans="1:3" s="136" customFormat="1" ht="21.6" customHeight="1">
      <c r="A55" s="134" t="s">
        <v>2319</v>
      </c>
      <c r="B55" s="133">
        <v>211</v>
      </c>
      <c r="C55" s="133" t="s">
        <v>2240</v>
      </c>
    </row>
    <row r="56" spans="1:3" s="136" customFormat="1" ht="21.6" customHeight="1">
      <c r="A56" s="134" t="s">
        <v>2320</v>
      </c>
      <c r="B56" s="133">
        <v>212</v>
      </c>
      <c r="C56" s="133" t="s">
        <v>2241</v>
      </c>
    </row>
    <row r="57" spans="1:3" s="136" customFormat="1" ht="21.6" customHeight="1">
      <c r="A57" s="134" t="s">
        <v>2321</v>
      </c>
      <c r="B57" s="133">
        <v>213</v>
      </c>
      <c r="C57" s="133" t="s">
        <v>2242</v>
      </c>
    </row>
    <row r="58" spans="1:3" s="136" customFormat="1" ht="21.6" customHeight="1">
      <c r="A58" s="134" t="s">
        <v>2322</v>
      </c>
      <c r="B58" s="133">
        <v>214</v>
      </c>
      <c r="C58" s="133" t="s">
        <v>2243</v>
      </c>
    </row>
    <row r="59" spans="1:3" s="136" customFormat="1" ht="21.6" customHeight="1">
      <c r="A59" s="134" t="s">
        <v>2323</v>
      </c>
      <c r="B59" s="133">
        <v>221</v>
      </c>
      <c r="C59" s="133" t="s">
        <v>2244</v>
      </c>
    </row>
    <row r="60" spans="1:3" s="136" customFormat="1" ht="21.6" customHeight="1">
      <c r="A60" s="134" t="s">
        <v>2324</v>
      </c>
      <c r="B60" s="133">
        <v>222</v>
      </c>
      <c r="C60" s="133" t="s">
        <v>2245</v>
      </c>
    </row>
    <row r="61" spans="1:3" s="136" customFormat="1" ht="21.6" customHeight="1">
      <c r="A61" s="134" t="s">
        <v>2325</v>
      </c>
      <c r="B61" s="133">
        <v>223</v>
      </c>
      <c r="C61" s="133" t="s">
        <v>2246</v>
      </c>
    </row>
    <row r="62" spans="1:3" s="136" customFormat="1" ht="21.6" customHeight="1">
      <c r="A62" s="134" t="s">
        <v>2326</v>
      </c>
      <c r="B62" s="133">
        <v>224</v>
      </c>
      <c r="C62" s="133" t="s">
        <v>2247</v>
      </c>
    </row>
    <row r="63" spans="1:3" s="136" customFormat="1" ht="21.6" customHeight="1">
      <c r="A63" s="134" t="s">
        <v>2327</v>
      </c>
      <c r="B63" s="133">
        <v>225</v>
      </c>
      <c r="C63" s="133" t="s">
        <v>2248</v>
      </c>
    </row>
    <row r="64" spans="1:3" s="136" customFormat="1" ht="21.6" customHeight="1">
      <c r="A64" s="134" t="s">
        <v>2328</v>
      </c>
      <c r="B64" s="133">
        <v>230</v>
      </c>
      <c r="C64" s="133" t="s">
        <v>2249</v>
      </c>
    </row>
    <row r="65" spans="1:3" s="136" customFormat="1" ht="21.6" customHeight="1">
      <c r="A65" s="134" t="s">
        <v>2329</v>
      </c>
      <c r="B65" s="133">
        <v>231</v>
      </c>
      <c r="C65" s="133" t="s">
        <v>2250</v>
      </c>
    </row>
    <row r="66" spans="1:3" s="136" customFormat="1" ht="21.6" customHeight="1">
      <c r="A66" s="134" t="s">
        <v>2330</v>
      </c>
      <c r="B66" s="133">
        <v>232</v>
      </c>
      <c r="C66" s="133" t="s">
        <v>2251</v>
      </c>
    </row>
    <row r="67" spans="1:3" s="136" customFormat="1" ht="21.6" customHeight="1">
      <c r="A67" s="134" t="s">
        <v>2331</v>
      </c>
      <c r="B67" s="133">
        <v>2035</v>
      </c>
      <c r="C67" s="133" t="s">
        <v>2252</v>
      </c>
    </row>
    <row r="68" spans="1:3" s="136" customFormat="1" ht="21.6" customHeight="1">
      <c r="A68" s="134" t="s">
        <v>2332</v>
      </c>
      <c r="B68" s="133">
        <v>2048</v>
      </c>
      <c r="C68" s="133" t="s">
        <v>2253</v>
      </c>
    </row>
    <row r="69" spans="1:3" s="136" customFormat="1" ht="21.6" customHeight="1">
      <c r="A69" s="134" t="s">
        <v>2333</v>
      </c>
      <c r="B69" s="133">
        <v>169</v>
      </c>
      <c r="C69" s="133" t="s">
        <v>2254</v>
      </c>
    </row>
    <row r="70" spans="1:3" s="136" customFormat="1" ht="21.6" customHeight="1">
      <c r="A70" s="134" t="s">
        <v>2334</v>
      </c>
      <c r="B70" s="133">
        <v>170</v>
      </c>
      <c r="C70" s="133" t="s">
        <v>2255</v>
      </c>
    </row>
    <row r="71" spans="1:3" s="136" customFormat="1" ht="21.6" customHeight="1">
      <c r="A71" s="134" t="s">
        <v>2335</v>
      </c>
      <c r="B71" s="133">
        <v>233</v>
      </c>
      <c r="C71" s="133" t="s">
        <v>2256</v>
      </c>
    </row>
    <row r="72" spans="1:3" s="136" customFormat="1" ht="21.6" customHeight="1">
      <c r="A72" s="134" t="s">
        <v>2336</v>
      </c>
      <c r="B72" s="133">
        <v>903</v>
      </c>
      <c r="C72" s="133" t="s">
        <v>2257</v>
      </c>
    </row>
    <row r="73" spans="1:3" s="136" customFormat="1" ht="21.6" customHeight="1">
      <c r="A73" s="134" t="s">
        <v>2337</v>
      </c>
      <c r="B73" s="133">
        <v>1006</v>
      </c>
      <c r="C73" s="133" t="s">
        <v>2258</v>
      </c>
    </row>
    <row r="74" spans="1:3" s="136" customFormat="1" ht="21.6" customHeight="1">
      <c r="A74" s="134" t="s">
        <v>2338</v>
      </c>
      <c r="B74" s="133">
        <v>2933</v>
      </c>
      <c r="C74" s="133" t="s">
        <v>2259</v>
      </c>
    </row>
    <row r="75" spans="1:3" s="136" customFormat="1" ht="21.6" customHeight="1">
      <c r="A75" s="134" t="s">
        <v>2339</v>
      </c>
      <c r="B75" s="133">
        <v>2934</v>
      </c>
      <c r="C75" s="133" t="s">
        <v>2260</v>
      </c>
    </row>
    <row r="76" spans="1:3" s="136" customFormat="1" ht="21.6" customHeight="1">
      <c r="A76" s="134" t="s">
        <v>2340</v>
      </c>
      <c r="B76" s="133">
        <v>2935</v>
      </c>
      <c r="C76" s="133" t="s">
        <v>2261</v>
      </c>
    </row>
    <row r="77" spans="1:3" s="136" customFormat="1" ht="21.6" customHeight="1">
      <c r="A77" s="134" t="s">
        <v>2341</v>
      </c>
      <c r="B77" s="133">
        <v>3026</v>
      </c>
      <c r="C77" s="133" t="s">
        <v>2262</v>
      </c>
    </row>
    <row r="78" spans="1:3" s="136" customFormat="1" ht="21.6" customHeight="1">
      <c r="A78" s="134" t="s">
        <v>2342</v>
      </c>
      <c r="B78" s="133">
        <v>904</v>
      </c>
      <c r="C78" s="133" t="s">
        <v>2263</v>
      </c>
    </row>
    <row r="79" spans="1:3" s="136" customFormat="1" ht="21.6" customHeight="1">
      <c r="A79" s="134" t="s">
        <v>2343</v>
      </c>
      <c r="B79" s="133">
        <v>2931</v>
      </c>
      <c r="C79" s="133" t="s">
        <v>2264</v>
      </c>
    </row>
    <row r="80" spans="1:3" s="136" customFormat="1" ht="21.6" customHeight="1">
      <c r="A80" s="134" t="s">
        <v>2344</v>
      </c>
      <c r="B80" s="133">
        <v>2943</v>
      </c>
      <c r="C80" s="133" t="s">
        <v>2265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D226-2B5A-4066-96FB-CD857662D0C7}">
  <sheetPr codeName="Sheet11"/>
  <dimension ref="A1:H292"/>
  <sheetViews>
    <sheetView zoomScale="115" zoomScaleNormal="115" workbookViewId="0">
      <selection activeCell="B97" sqref="B97"/>
    </sheetView>
  </sheetViews>
  <sheetFormatPr defaultColWidth="8.88671875" defaultRowHeight="21.6" customHeight="1"/>
  <cols>
    <col min="1" max="1" width="8.88671875" style="23"/>
    <col min="2" max="2" width="28.44140625" style="24" customWidth="1"/>
    <col min="3" max="3" width="29.88671875" style="24" customWidth="1"/>
    <col min="4" max="4" width="42.6640625" style="24" customWidth="1"/>
    <col min="5" max="5" width="46.77734375" style="24" customWidth="1"/>
    <col min="6" max="6" width="64.88671875" style="24" customWidth="1"/>
    <col min="7" max="7" width="95.6640625" style="24" customWidth="1"/>
    <col min="8" max="16384" width="8.88671875" style="24"/>
  </cols>
  <sheetData>
    <row r="1" spans="1:8" s="22" customFormat="1" ht="21.6" customHeight="1">
      <c r="A1" s="20" t="s">
        <v>708</v>
      </c>
      <c r="B1" s="21" t="s">
        <v>709</v>
      </c>
      <c r="C1" s="21" t="s">
        <v>710</v>
      </c>
      <c r="D1" s="21"/>
      <c r="E1" s="22" t="s">
        <v>703</v>
      </c>
      <c r="F1" s="22" t="s">
        <v>705</v>
      </c>
      <c r="G1" s="22" t="s">
        <v>706</v>
      </c>
      <c r="H1" s="22" t="s">
        <v>707</v>
      </c>
    </row>
    <row r="2" spans="1:8" ht="21.6" customHeight="1">
      <c r="A2" s="23">
        <v>1</v>
      </c>
      <c r="B2" s="24" t="s">
        <v>230</v>
      </c>
      <c r="C2" s="24" t="s">
        <v>711</v>
      </c>
      <c r="D2" s="24" t="str">
        <f t="shared" ref="D2:D66" si="0">"keyFunc_ppt" &amp; B2</f>
        <v>keyFunc_pptFileNewDefault</v>
      </c>
      <c r="E2" s="24" t="str">
        <f t="shared" ref="E2:E33" si="1">"keyFunc_ppt" &amp; B2 &amp; "() {"</f>
        <v>keyFunc_pptFileNewDefault() {</v>
      </c>
      <c r="F2" s="22" t="s">
        <v>702</v>
      </c>
      <c r="G2" s="24" t="str">
        <f t="shared" ref="G2:G33" si="2">"    pptApp.CommandBars.ExecuteMso(""" &amp; B2 &amp;""")                ;" &amp; C2</f>
        <v xml:space="preserve">    pptApp.CommandBars.ExecuteMso("FileNewDefault")                ;打开新的空白演示文稿</v>
      </c>
      <c r="H2" s="24" t="s">
        <v>704</v>
      </c>
    </row>
    <row r="3" spans="1:8" ht="21.6" customHeight="1">
      <c r="A3" s="23">
        <v>2</v>
      </c>
      <c r="B3" s="24" t="s">
        <v>231</v>
      </c>
      <c r="C3" s="24" t="s">
        <v>712</v>
      </c>
      <c r="D3" s="24" t="str">
        <f t="shared" si="0"/>
        <v>keyFunc_pptFileOpenUsingBackstage</v>
      </c>
      <c r="E3" s="24" t="str">
        <f t="shared" si="1"/>
        <v>keyFunc_pptFileOpenUsingBackstage() {</v>
      </c>
      <c r="F3" s="22" t="s">
        <v>702</v>
      </c>
      <c r="G3" s="24" t="str">
        <f t="shared" si="2"/>
        <v xml:space="preserve">    pptApp.CommandBars.ExecuteMso("FileOpenUsingBackstage")                ;使用后台打开文件</v>
      </c>
      <c r="H3" s="24" t="s">
        <v>704</v>
      </c>
    </row>
    <row r="4" spans="1:8" ht="21.6" customHeight="1">
      <c r="A4" s="23">
        <v>3</v>
      </c>
      <c r="B4" s="24" t="s">
        <v>232</v>
      </c>
      <c r="C4" s="24" t="s">
        <v>713</v>
      </c>
      <c r="D4" s="24" t="str">
        <f t="shared" si="0"/>
        <v>keyFunc_pptFileSave</v>
      </c>
      <c r="E4" s="24" t="str">
        <f t="shared" si="1"/>
        <v>keyFunc_pptFileSave() {</v>
      </c>
      <c r="F4" s="22" t="s">
        <v>702</v>
      </c>
      <c r="G4" s="24" t="str">
        <f t="shared" si="2"/>
        <v xml:space="preserve">    pptApp.CommandBars.ExecuteMso("FileSave")                ;保存当前演示文稿</v>
      </c>
      <c r="H4" s="24" t="s">
        <v>704</v>
      </c>
    </row>
    <row r="5" spans="1:8" ht="21.6" customHeight="1">
      <c r="A5" s="23">
        <v>4</v>
      </c>
      <c r="B5" s="24" t="s">
        <v>233</v>
      </c>
      <c r="C5" s="24" t="s">
        <v>714</v>
      </c>
      <c r="D5" s="24" t="str">
        <f t="shared" si="0"/>
        <v>keyFunc_pptFileSendAsAttachment</v>
      </c>
      <c r="E5" s="24" t="str">
        <f t="shared" si="1"/>
        <v>keyFunc_pptFileSendAsAttachment() {</v>
      </c>
      <c r="F5" s="22" t="s">
        <v>702</v>
      </c>
      <c r="G5" s="24" t="str">
        <f t="shared" si="2"/>
        <v xml:space="preserve">    pptApp.CommandBars.ExecuteMso("FileSendAsAttachment")                ;将演示文稿作为附件发送</v>
      </c>
      <c r="H5" s="24" t="s">
        <v>704</v>
      </c>
    </row>
    <row r="6" spans="1:8" ht="21.6" customHeight="1">
      <c r="A6" s="23">
        <v>5</v>
      </c>
      <c r="B6" s="24" t="s">
        <v>234</v>
      </c>
      <c r="C6" s="24" t="s">
        <v>715</v>
      </c>
      <c r="D6" s="24" t="str">
        <f t="shared" si="0"/>
        <v>keyFunc_pptFilePrintQuick</v>
      </c>
      <c r="E6" s="24" t="str">
        <f t="shared" si="1"/>
        <v>keyFunc_pptFilePrintQuick() {</v>
      </c>
      <c r="F6" s="22" t="s">
        <v>702</v>
      </c>
      <c r="G6" s="24" t="str">
        <f t="shared" si="2"/>
        <v xml:space="preserve">    pptApp.CommandBars.ExecuteMso("FilePrintQuick")                ;快速打印演示文稿</v>
      </c>
      <c r="H6" s="24" t="s">
        <v>704</v>
      </c>
    </row>
    <row r="7" spans="1:8" s="27" customFormat="1" ht="21.6" customHeight="1">
      <c r="A7" s="26">
        <v>6</v>
      </c>
      <c r="B7" s="27" t="s">
        <v>235</v>
      </c>
      <c r="C7" s="27" t="s">
        <v>716</v>
      </c>
      <c r="D7" s="27" t="str">
        <f t="shared" si="0"/>
        <v>keyFunc_pptPrintPreviewAndPrint</v>
      </c>
      <c r="E7" s="27" t="str">
        <f t="shared" si="1"/>
        <v>keyFunc_pptPrintPreviewAndPrint() {</v>
      </c>
      <c r="F7" s="28" t="s">
        <v>702</v>
      </c>
      <c r="G7" s="27" t="str">
        <f t="shared" si="2"/>
        <v xml:space="preserve">    pptApp.CommandBars.ExecuteMso("PrintPreviewAndPrint")                ;打印预览并打印</v>
      </c>
      <c r="H7" s="27" t="s">
        <v>704</v>
      </c>
    </row>
    <row r="8" spans="1:8" s="27" customFormat="1" ht="21.6" customHeight="1">
      <c r="A8" s="26">
        <v>7</v>
      </c>
      <c r="B8" s="27" t="s">
        <v>236</v>
      </c>
      <c r="C8" s="27" t="s">
        <v>717</v>
      </c>
      <c r="D8" s="27" t="str">
        <f t="shared" si="0"/>
        <v>keyFunc_pptSpelling</v>
      </c>
      <c r="E8" s="27" t="str">
        <f t="shared" si="1"/>
        <v>keyFunc_pptSpelling() {</v>
      </c>
      <c r="F8" s="28" t="s">
        <v>702</v>
      </c>
      <c r="G8" s="27" t="str">
        <f t="shared" si="2"/>
        <v xml:space="preserve">    pptApp.CommandBars.ExecuteMso("Spelling")                ;拼写检查</v>
      </c>
      <c r="H8" s="27" t="s">
        <v>704</v>
      </c>
    </row>
    <row r="9" spans="1:8" s="27" customFormat="1" ht="21.6" customHeight="1">
      <c r="A9" s="26">
        <v>8</v>
      </c>
      <c r="B9" s="27" t="s">
        <v>33</v>
      </c>
      <c r="C9" s="27" t="s">
        <v>718</v>
      </c>
      <c r="D9" s="27" t="str">
        <f t="shared" si="0"/>
        <v>keyFunc_pptUndo</v>
      </c>
      <c r="E9" s="27" t="str">
        <f t="shared" si="1"/>
        <v>keyFunc_pptUndo() {</v>
      </c>
      <c r="F9" s="28" t="s">
        <v>702</v>
      </c>
      <c r="G9" s="27" t="str">
        <f t="shared" si="2"/>
        <v xml:space="preserve">    pptApp.CommandBars.ExecuteMso("Undo")                ;撤销上一次操作</v>
      </c>
      <c r="H9" s="27" t="s">
        <v>704</v>
      </c>
    </row>
    <row r="10" spans="1:8" s="27" customFormat="1" ht="21.6" customHeight="1">
      <c r="A10" s="26">
        <v>9</v>
      </c>
      <c r="B10" s="27" t="s">
        <v>237</v>
      </c>
      <c r="C10" s="27" t="s">
        <v>719</v>
      </c>
      <c r="D10" s="27" t="str">
        <f t="shared" si="0"/>
        <v>keyFunc_pptRedoOrRepeat</v>
      </c>
      <c r="E10" s="27" t="str">
        <f t="shared" si="1"/>
        <v>keyFunc_pptRedoOrRepeat() {</v>
      </c>
      <c r="F10" s="28" t="s">
        <v>702</v>
      </c>
      <c r="G10" s="27" t="str">
        <f t="shared" si="2"/>
        <v xml:space="preserve">    pptApp.CommandBars.ExecuteMso("RedoOrRepeat")                ;重复或重做上一次操作</v>
      </c>
      <c r="H10" s="27" t="s">
        <v>704</v>
      </c>
    </row>
    <row r="11" spans="1:8" s="27" customFormat="1" ht="21.6" customHeight="1">
      <c r="A11" s="26">
        <v>10</v>
      </c>
      <c r="B11" s="27" t="s">
        <v>238</v>
      </c>
      <c r="C11" s="27" t="s">
        <v>720</v>
      </c>
      <c r="D11" s="27" t="str">
        <f t="shared" si="0"/>
        <v>keyFunc_pptSlideShowFromBeginning</v>
      </c>
      <c r="E11" s="27" t="str">
        <f t="shared" si="1"/>
        <v>keyFunc_pptSlideShowFromBeginning() {</v>
      </c>
      <c r="F11" s="28" t="s">
        <v>702</v>
      </c>
      <c r="G11" s="27" t="str">
        <f t="shared" si="2"/>
        <v xml:space="preserve">    pptApp.CommandBars.ExecuteMso("SlideShowFromBeginning")                ;从头开始放映演示文稿</v>
      </c>
      <c r="H11" s="27" t="s">
        <v>704</v>
      </c>
    </row>
    <row r="12" spans="1:8" s="30" customFormat="1" ht="21.6" customHeight="1">
      <c r="A12" s="29">
        <v>11</v>
      </c>
      <c r="B12" s="30" t="s">
        <v>239</v>
      </c>
      <c r="C12" s="30" t="s">
        <v>882</v>
      </c>
      <c r="D12" s="30" t="str">
        <f t="shared" si="0"/>
        <v>keyFunc_pptPointerModeOptions</v>
      </c>
      <c r="E12" s="30" t="str">
        <f t="shared" si="1"/>
        <v>keyFunc_pptPointerModeOptions() {</v>
      </c>
      <c r="F12" s="31" t="s">
        <v>702</v>
      </c>
      <c r="G12" s="30" t="str">
        <f t="shared" si="2"/>
        <v xml:space="preserve">    pptApp.CommandBars.ExecuteMso("PointerModeOptions")                ;指针模式选项</v>
      </c>
      <c r="H12" s="30" t="s">
        <v>704</v>
      </c>
    </row>
    <row r="13" spans="1:8" s="30" customFormat="1" ht="21.6" customHeight="1">
      <c r="A13" s="29">
        <v>12</v>
      </c>
      <c r="B13" s="30" t="s">
        <v>240</v>
      </c>
      <c r="C13" s="30" t="s">
        <v>883</v>
      </c>
      <c r="D13" s="30" t="str">
        <f t="shared" si="0"/>
        <v>keyFunc_pptTabHome</v>
      </c>
      <c r="E13" s="30" t="str">
        <f t="shared" si="1"/>
        <v>keyFunc_pptTabHome() {</v>
      </c>
      <c r="F13" s="31" t="s">
        <v>702</v>
      </c>
      <c r="G13" s="30" t="str">
        <f t="shared" si="2"/>
        <v xml:space="preserve">    pptApp.CommandBars.ExecuteMso("TabHome")                ;主页选项卡</v>
      </c>
      <c r="H13" s="30" t="s">
        <v>704</v>
      </c>
    </row>
    <row r="14" spans="1:8" s="30" customFormat="1" ht="21.6" customHeight="1">
      <c r="A14" s="29">
        <v>13</v>
      </c>
      <c r="B14" s="30" t="s">
        <v>241</v>
      </c>
      <c r="C14" s="30" t="s">
        <v>884</v>
      </c>
      <c r="D14" s="30" t="str">
        <f t="shared" si="0"/>
        <v>keyFunc_pptGroupClipboard</v>
      </c>
      <c r="E14" s="30" t="str">
        <f t="shared" si="1"/>
        <v>keyFunc_pptGroupClipboard() {</v>
      </c>
      <c r="F14" s="31" t="s">
        <v>702</v>
      </c>
      <c r="G14" s="30" t="str">
        <f t="shared" si="2"/>
        <v xml:space="preserve">    pptApp.CommandBars.ExecuteMso("GroupClipboard")                ;剪贴板分组</v>
      </c>
      <c r="H14" s="30" t="s">
        <v>704</v>
      </c>
    </row>
    <row r="15" spans="1:8" s="30" customFormat="1" ht="21.6" customHeight="1">
      <c r="A15" s="29">
        <v>14</v>
      </c>
      <c r="B15" s="30" t="s">
        <v>242</v>
      </c>
      <c r="C15" s="30" t="s">
        <v>885</v>
      </c>
      <c r="D15" s="30" t="str">
        <f t="shared" si="0"/>
        <v>keyFunc_pptPasteMenu</v>
      </c>
      <c r="E15" s="30" t="str">
        <f t="shared" si="1"/>
        <v>keyFunc_pptPasteMenu() {</v>
      </c>
      <c r="F15" s="31" t="s">
        <v>702</v>
      </c>
      <c r="G15" s="30" t="str">
        <f t="shared" si="2"/>
        <v xml:space="preserve">    pptApp.CommandBars.ExecuteMso("PasteMenu")                ;粘贴菜单</v>
      </c>
      <c r="H15" s="30" t="s">
        <v>704</v>
      </c>
    </row>
    <row r="16" spans="1:8" ht="21.6" customHeight="1">
      <c r="A16" s="23">
        <v>15</v>
      </c>
      <c r="B16" s="24" t="s">
        <v>40</v>
      </c>
      <c r="C16" s="24" t="s">
        <v>721</v>
      </c>
      <c r="D16" s="24" t="str">
        <f t="shared" si="0"/>
        <v>keyFunc_pptPaste</v>
      </c>
      <c r="E16" s="24" t="str">
        <f t="shared" si="1"/>
        <v>keyFunc_pptPaste() {</v>
      </c>
      <c r="F16" s="22" t="s">
        <v>702</v>
      </c>
      <c r="G16" s="24" t="str">
        <f t="shared" si="2"/>
        <v xml:space="preserve">    pptApp.CommandBars.ExecuteMso("Paste")                ;粘贴</v>
      </c>
      <c r="H16" s="24" t="s">
        <v>704</v>
      </c>
    </row>
    <row r="17" spans="1:8" s="33" customFormat="1" ht="21.6" customHeight="1">
      <c r="A17" s="32">
        <v>16</v>
      </c>
      <c r="B17" s="33" t="s">
        <v>243</v>
      </c>
      <c r="C17" s="33" t="s">
        <v>886</v>
      </c>
      <c r="D17" s="33" t="str">
        <f t="shared" si="0"/>
        <v>keyFunc_pptPasteGallery</v>
      </c>
      <c r="E17" s="33" t="str">
        <f t="shared" si="1"/>
        <v>keyFunc_pptPasteGallery() {</v>
      </c>
      <c r="F17" s="34" t="s">
        <v>702</v>
      </c>
      <c r="G17" s="33" t="str">
        <f t="shared" si="2"/>
        <v xml:space="preserve">    pptApp.CommandBars.ExecuteMso("PasteGallery")                ;粘贴图库</v>
      </c>
      <c r="H17" s="33" t="s">
        <v>704</v>
      </c>
    </row>
    <row r="18" spans="1:8" s="27" customFormat="1" ht="21.6" customHeight="1">
      <c r="A18" s="26">
        <v>17</v>
      </c>
      <c r="B18" s="27" t="s">
        <v>244</v>
      </c>
      <c r="C18" s="27" t="s">
        <v>722</v>
      </c>
      <c r="D18" s="27" t="str">
        <f t="shared" si="0"/>
        <v>keyFunc_pptPasteSpecialDialog</v>
      </c>
      <c r="E18" s="27" t="str">
        <f t="shared" si="1"/>
        <v>keyFunc_pptPasteSpecialDialog() {</v>
      </c>
      <c r="F18" s="28" t="s">
        <v>702</v>
      </c>
      <c r="G18" s="27" t="str">
        <f t="shared" si="2"/>
        <v xml:space="preserve">    pptApp.CommandBars.ExecuteMso("PasteSpecialDialog")                ;粘贴特殊对话框</v>
      </c>
      <c r="H18" s="27" t="s">
        <v>704</v>
      </c>
    </row>
    <row r="19" spans="1:8" s="27" customFormat="1" ht="21.6" customHeight="1">
      <c r="A19" s="26">
        <v>18</v>
      </c>
      <c r="B19" s="27" t="s">
        <v>245</v>
      </c>
      <c r="C19" s="27" t="s">
        <v>723</v>
      </c>
      <c r="D19" s="27" t="str">
        <f t="shared" si="0"/>
        <v>keyFunc_pptCut</v>
      </c>
      <c r="E19" s="27" t="str">
        <f t="shared" si="1"/>
        <v>keyFunc_pptCut() {</v>
      </c>
      <c r="F19" s="28" t="s">
        <v>702</v>
      </c>
      <c r="G19" s="27" t="str">
        <f t="shared" si="2"/>
        <v xml:space="preserve">    pptApp.CommandBars.ExecuteMso("Cut")                ;剪切</v>
      </c>
      <c r="H19" s="27" t="s">
        <v>704</v>
      </c>
    </row>
    <row r="20" spans="1:8" s="33" customFormat="1" ht="21.6" customHeight="1">
      <c r="A20" s="32">
        <v>19</v>
      </c>
      <c r="B20" s="33" t="s">
        <v>246</v>
      </c>
      <c r="C20" s="33" t="s">
        <v>887</v>
      </c>
      <c r="D20" s="33" t="str">
        <f t="shared" si="0"/>
        <v>keyFunc_pptCopySplitButton</v>
      </c>
      <c r="E20" s="33" t="str">
        <f t="shared" si="1"/>
        <v>keyFunc_pptCopySplitButton() {</v>
      </c>
      <c r="F20" s="34" t="s">
        <v>702</v>
      </c>
      <c r="G20" s="33" t="str">
        <f t="shared" si="2"/>
        <v xml:space="preserve">    pptApp.CommandBars.ExecuteMso("CopySplitButton")                ;拆分按钮复制</v>
      </c>
      <c r="H20" s="33" t="s">
        <v>704</v>
      </c>
    </row>
    <row r="21" spans="1:8" s="27" customFormat="1" ht="21.6" customHeight="1">
      <c r="A21" s="26">
        <v>20</v>
      </c>
      <c r="B21" s="27" t="s">
        <v>247</v>
      </c>
      <c r="C21" s="27" t="s">
        <v>724</v>
      </c>
      <c r="D21" s="27" t="str">
        <f t="shared" si="0"/>
        <v>keyFunc_pptCopy</v>
      </c>
      <c r="E21" s="27" t="str">
        <f t="shared" si="1"/>
        <v>keyFunc_pptCopy() {</v>
      </c>
      <c r="F21" s="28" t="s">
        <v>702</v>
      </c>
      <c r="G21" s="27" t="str">
        <f t="shared" si="2"/>
        <v xml:space="preserve">    pptApp.CommandBars.ExecuteMso("Copy")                ;复制</v>
      </c>
      <c r="H21" s="27" t="s">
        <v>704</v>
      </c>
    </row>
    <row r="22" spans="1:8" ht="21.6" customHeight="1">
      <c r="A22" s="23">
        <v>21</v>
      </c>
      <c r="B22" s="24" t="s">
        <v>248</v>
      </c>
      <c r="C22" s="24" t="s">
        <v>725</v>
      </c>
      <c r="D22" s="24" t="str">
        <f t="shared" si="0"/>
        <v>keyFunc_pptPasteDuplicate</v>
      </c>
      <c r="E22" s="24" t="str">
        <f t="shared" si="1"/>
        <v>keyFunc_pptPasteDuplicate() {</v>
      </c>
      <c r="F22" s="22" t="s">
        <v>702</v>
      </c>
      <c r="G22" s="24" t="str">
        <f t="shared" si="2"/>
        <v xml:space="preserve">    pptApp.CommandBars.ExecuteMso("PasteDuplicate")                ;粘贴副本</v>
      </c>
      <c r="H22" s="24" t="s">
        <v>704</v>
      </c>
    </row>
    <row r="23" spans="1:8" ht="21.6" customHeight="1">
      <c r="A23" s="23">
        <v>22</v>
      </c>
      <c r="B23" s="24" t="s">
        <v>249</v>
      </c>
      <c r="C23" s="24" t="s">
        <v>726</v>
      </c>
      <c r="D23" s="24" t="str">
        <f t="shared" si="0"/>
        <v>keyFunc_pptFormatPainter</v>
      </c>
      <c r="E23" s="24" t="str">
        <f t="shared" si="1"/>
        <v>keyFunc_pptFormatPainter() {</v>
      </c>
      <c r="F23" s="22" t="s">
        <v>702</v>
      </c>
      <c r="G23" s="24" t="str">
        <f t="shared" si="2"/>
        <v xml:space="preserve">    pptApp.CommandBars.ExecuteMso("FormatPainter")                ;格式刷</v>
      </c>
      <c r="H23" s="24" t="s">
        <v>704</v>
      </c>
    </row>
    <row r="24" spans="1:8" ht="21.6" customHeight="1">
      <c r="A24" s="23">
        <v>23</v>
      </c>
      <c r="B24" s="24" t="s">
        <v>250</v>
      </c>
      <c r="C24" s="24" t="s">
        <v>727</v>
      </c>
      <c r="D24" s="24" t="str">
        <f t="shared" si="0"/>
        <v>keyFunc_pptShowClipboard</v>
      </c>
      <c r="E24" s="24" t="str">
        <f t="shared" si="1"/>
        <v>keyFunc_pptShowClipboard() {</v>
      </c>
      <c r="F24" s="22" t="s">
        <v>702</v>
      </c>
      <c r="G24" s="24" t="str">
        <f t="shared" si="2"/>
        <v xml:space="preserve">    pptApp.CommandBars.ExecuteMso("ShowClipboard")                ;显示剪贴板</v>
      </c>
      <c r="H24" s="24" t="s">
        <v>704</v>
      </c>
    </row>
    <row r="25" spans="1:8" s="30" customFormat="1" ht="21.6" customHeight="1">
      <c r="A25" s="29">
        <v>24</v>
      </c>
      <c r="B25" s="30" t="s">
        <v>251</v>
      </c>
      <c r="C25" s="30" t="s">
        <v>888</v>
      </c>
      <c r="D25" s="30" t="str">
        <f t="shared" si="0"/>
        <v>keyFunc_pptGroupSlides</v>
      </c>
      <c r="E25" s="30" t="str">
        <f t="shared" si="1"/>
        <v>keyFunc_pptGroupSlides() {</v>
      </c>
      <c r="F25" s="31" t="s">
        <v>702</v>
      </c>
      <c r="G25" s="30" t="str">
        <f t="shared" si="2"/>
        <v xml:space="preserve">    pptApp.CommandBars.ExecuteMso("GroupSlides")                ;幻灯片分组</v>
      </c>
      <c r="H25" s="30" t="s">
        <v>704</v>
      </c>
    </row>
    <row r="26" spans="1:8" s="30" customFormat="1" ht="21.6" customHeight="1">
      <c r="A26" s="29">
        <v>25</v>
      </c>
      <c r="B26" s="30" t="s">
        <v>303</v>
      </c>
      <c r="C26" s="30" t="s">
        <v>889</v>
      </c>
      <c r="D26" s="30" t="str">
        <f t="shared" si="0"/>
        <v>keyFunc_pptSlideNewGallery</v>
      </c>
      <c r="E26" s="30" t="str">
        <f t="shared" si="1"/>
        <v>keyFunc_pptSlideNewGallery() {</v>
      </c>
      <c r="F26" s="31" t="s">
        <v>702</v>
      </c>
      <c r="G26" s="30" t="str">
        <f t="shared" si="2"/>
        <v xml:space="preserve">    pptApp.CommandBars.ExecuteMso("SlideNewGallery")                ;新建幻灯片图库</v>
      </c>
      <c r="H26" s="30" t="s">
        <v>704</v>
      </c>
    </row>
    <row r="27" spans="1:8" s="27" customFormat="1" ht="21.6" customHeight="1">
      <c r="A27" s="26">
        <v>26</v>
      </c>
      <c r="B27" s="27" t="s">
        <v>304</v>
      </c>
      <c r="C27" s="27" t="s">
        <v>729</v>
      </c>
      <c r="D27" s="27" t="str">
        <f t="shared" si="0"/>
        <v>keyFunc_pptDuplicateSelectedSlides</v>
      </c>
      <c r="E27" s="27" t="str">
        <f t="shared" si="1"/>
        <v>keyFunc_pptDuplicateSelectedSlides() {</v>
      </c>
      <c r="F27" s="28" t="s">
        <v>702</v>
      </c>
      <c r="G27" s="27" t="str">
        <f t="shared" si="2"/>
        <v xml:space="preserve">    pptApp.CommandBars.ExecuteMso("DuplicateSelectedSlides")                ;复制所选幻灯片</v>
      </c>
      <c r="H27" s="27" t="s">
        <v>704</v>
      </c>
    </row>
    <row r="28" spans="1:8" s="27" customFormat="1" ht="21.6" customHeight="1">
      <c r="A28" s="26">
        <v>27</v>
      </c>
      <c r="B28" s="27" t="s">
        <v>305</v>
      </c>
      <c r="C28" s="27" t="s">
        <v>730</v>
      </c>
      <c r="D28" s="27" t="str">
        <f t="shared" si="0"/>
        <v>keyFunc_pptSlidesFromOutline</v>
      </c>
      <c r="E28" s="27" t="str">
        <f t="shared" si="1"/>
        <v>keyFunc_pptSlidesFromOutline() {</v>
      </c>
      <c r="F28" s="28" t="s">
        <v>702</v>
      </c>
      <c r="G28" s="27" t="str">
        <f t="shared" si="2"/>
        <v xml:space="preserve">    pptApp.CommandBars.ExecuteMso("SlidesFromOutline")                ;从大纲生成幻灯片</v>
      </c>
      <c r="H28" s="27" t="s">
        <v>704</v>
      </c>
    </row>
    <row r="29" spans="1:8" s="33" customFormat="1" ht="21.6" customHeight="1">
      <c r="A29" s="32">
        <v>28</v>
      </c>
      <c r="B29" s="33" t="s">
        <v>306</v>
      </c>
      <c r="C29" s="33" t="s">
        <v>890</v>
      </c>
      <c r="D29" s="33" t="str">
        <f t="shared" si="0"/>
        <v>keyFunc_pptSlidesReuseSlides</v>
      </c>
      <c r="E29" s="33" t="str">
        <f t="shared" si="1"/>
        <v>keyFunc_pptSlidesReuseSlides() {</v>
      </c>
      <c r="F29" s="34" t="s">
        <v>702</v>
      </c>
      <c r="G29" s="33" t="str">
        <f t="shared" si="2"/>
        <v xml:space="preserve">    pptApp.CommandBars.ExecuteMso("SlidesReuseSlides")                ;重用幻灯片</v>
      </c>
      <c r="H29" s="33" t="s">
        <v>704</v>
      </c>
    </row>
    <row r="30" spans="1:8" s="33" customFormat="1" ht="21.6" customHeight="1">
      <c r="A30" s="32">
        <v>29</v>
      </c>
      <c r="B30" s="33" t="s">
        <v>252</v>
      </c>
      <c r="C30" s="33" t="s">
        <v>891</v>
      </c>
      <c r="D30" s="33" t="str">
        <f t="shared" si="0"/>
        <v>keyFunc_pptSlideLayoutGallery</v>
      </c>
      <c r="E30" s="33" t="str">
        <f t="shared" si="1"/>
        <v>keyFunc_pptSlideLayoutGallery() {</v>
      </c>
      <c r="F30" s="34" t="s">
        <v>702</v>
      </c>
      <c r="G30" s="33" t="str">
        <f t="shared" si="2"/>
        <v xml:space="preserve">    pptApp.CommandBars.ExecuteMso("SlideLayoutGallery")                ;幻灯片版式图库</v>
      </c>
      <c r="H30" s="33" t="s">
        <v>704</v>
      </c>
    </row>
    <row r="31" spans="1:8" s="27" customFormat="1" ht="21.6" customHeight="1">
      <c r="A31" s="26">
        <v>30</v>
      </c>
      <c r="B31" s="27" t="s">
        <v>253</v>
      </c>
      <c r="C31" s="27" t="s">
        <v>731</v>
      </c>
      <c r="D31" s="27" t="str">
        <f t="shared" si="0"/>
        <v>keyFunc_pptSlideReset</v>
      </c>
      <c r="E31" s="27" t="str">
        <f t="shared" si="1"/>
        <v>keyFunc_pptSlideReset() {</v>
      </c>
      <c r="F31" s="28" t="s">
        <v>702</v>
      </c>
      <c r="G31" s="27" t="str">
        <f t="shared" si="2"/>
        <v xml:space="preserve">    pptApp.CommandBars.ExecuteMso("SlideReset")                ;重置幻灯片</v>
      </c>
      <c r="H31" s="27" t="s">
        <v>704</v>
      </c>
    </row>
    <row r="32" spans="1:8" s="30" customFormat="1" ht="21.6" customHeight="1">
      <c r="A32" s="29">
        <v>31</v>
      </c>
      <c r="B32" s="30" t="s">
        <v>254</v>
      </c>
      <c r="C32" s="30" t="s">
        <v>892</v>
      </c>
      <c r="D32" s="30" t="str">
        <f t="shared" si="0"/>
        <v>keyFunc_pptSectionMenu</v>
      </c>
      <c r="E32" s="30" t="str">
        <f t="shared" si="1"/>
        <v>keyFunc_pptSectionMenu() {</v>
      </c>
      <c r="F32" s="31" t="s">
        <v>702</v>
      </c>
      <c r="G32" s="30" t="str">
        <f t="shared" si="2"/>
        <v xml:space="preserve">    pptApp.CommandBars.ExecuteMso("SectionMenu")                ;分区菜单</v>
      </c>
      <c r="H32" s="30" t="s">
        <v>704</v>
      </c>
    </row>
    <row r="33" spans="1:8" ht="21.6" customHeight="1">
      <c r="A33" s="23">
        <v>32</v>
      </c>
      <c r="B33" s="24" t="s">
        <v>255</v>
      </c>
      <c r="C33" s="24" t="s">
        <v>732</v>
      </c>
      <c r="D33" s="24" t="str">
        <f t="shared" si="0"/>
        <v>keyFunc_pptSectionAdd</v>
      </c>
      <c r="E33" s="24" t="str">
        <f t="shared" si="1"/>
        <v>keyFunc_pptSectionAdd() {</v>
      </c>
      <c r="F33" s="22" t="s">
        <v>702</v>
      </c>
      <c r="G33" s="24" t="str">
        <f t="shared" si="2"/>
        <v xml:space="preserve">    pptApp.CommandBars.ExecuteMso("SectionAdd")                ;添加分区</v>
      </c>
      <c r="H33" s="24" t="s">
        <v>704</v>
      </c>
    </row>
    <row r="34" spans="1:8" ht="21.6" customHeight="1">
      <c r="A34" s="23">
        <v>33</v>
      </c>
      <c r="B34" s="24" t="s">
        <v>256</v>
      </c>
      <c r="C34" s="24" t="s">
        <v>733</v>
      </c>
      <c r="D34" s="24" t="str">
        <f t="shared" si="0"/>
        <v>keyFunc_pptSectionRename</v>
      </c>
      <c r="E34" s="24" t="str">
        <f t="shared" ref="E34:E65" si="3">"keyFunc_ppt" &amp; B34 &amp; "() {"</f>
        <v>keyFunc_pptSectionRename() {</v>
      </c>
      <c r="F34" s="22" t="s">
        <v>702</v>
      </c>
      <c r="G34" s="24" t="str">
        <f t="shared" ref="G34:G65" si="4">"    pptApp.CommandBars.ExecuteMso(""" &amp; B34 &amp;""")                ;" &amp; C34</f>
        <v xml:space="preserve">    pptApp.CommandBars.ExecuteMso("SectionRename")                ;重命名分区</v>
      </c>
      <c r="H34" s="24" t="s">
        <v>704</v>
      </c>
    </row>
    <row r="35" spans="1:8" ht="21.6" customHeight="1">
      <c r="A35" s="23">
        <v>34</v>
      </c>
      <c r="B35" s="24" t="s">
        <v>257</v>
      </c>
      <c r="C35" s="24" t="s">
        <v>734</v>
      </c>
      <c r="D35" s="24" t="str">
        <f t="shared" si="0"/>
        <v>keyFunc_pptSectionMergeWithPrevious</v>
      </c>
      <c r="E35" s="24" t="str">
        <f t="shared" si="3"/>
        <v>keyFunc_pptSectionMergeWithPrevious() {</v>
      </c>
      <c r="F35" s="22" t="s">
        <v>702</v>
      </c>
      <c r="G35" s="24" t="str">
        <f t="shared" si="4"/>
        <v xml:space="preserve">    pptApp.CommandBars.ExecuteMso("SectionMergeWithPrevious")                ;合并到前一个分区</v>
      </c>
      <c r="H35" s="24" t="s">
        <v>704</v>
      </c>
    </row>
    <row r="36" spans="1:8" ht="21.6" customHeight="1">
      <c r="A36" s="23">
        <v>35</v>
      </c>
      <c r="B36" s="24" t="s">
        <v>258</v>
      </c>
      <c r="C36" s="24" t="s">
        <v>735</v>
      </c>
      <c r="D36" s="24" t="str">
        <f t="shared" si="0"/>
        <v>keyFunc_pptSectionRemoveAll</v>
      </c>
      <c r="E36" s="24" t="str">
        <f t="shared" si="3"/>
        <v>keyFunc_pptSectionRemoveAll() {</v>
      </c>
      <c r="F36" s="22" t="s">
        <v>702</v>
      </c>
      <c r="G36" s="24" t="str">
        <f t="shared" si="4"/>
        <v xml:space="preserve">    pptApp.CommandBars.ExecuteMso("SectionRemoveAll")                ;移除所有分区</v>
      </c>
      <c r="H36" s="24" t="s">
        <v>704</v>
      </c>
    </row>
    <row r="37" spans="1:8" s="27" customFormat="1" ht="21.6" customHeight="1">
      <c r="A37" s="26">
        <v>36</v>
      </c>
      <c r="B37" s="27" t="s">
        <v>259</v>
      </c>
      <c r="C37" s="27" t="s">
        <v>736</v>
      </c>
      <c r="D37" s="27" t="str">
        <f t="shared" si="0"/>
        <v>keyFunc_pptSectionCollapseAll</v>
      </c>
      <c r="E37" s="27" t="str">
        <f t="shared" si="3"/>
        <v>keyFunc_pptSectionCollapseAll() {</v>
      </c>
      <c r="F37" s="28" t="s">
        <v>702</v>
      </c>
      <c r="G37" s="27" t="str">
        <f t="shared" si="4"/>
        <v xml:space="preserve">    pptApp.CommandBars.ExecuteMso("SectionCollapseAll")                ;折叠所有分区</v>
      </c>
      <c r="H37" s="27" t="s">
        <v>704</v>
      </c>
    </row>
    <row r="38" spans="1:8" s="27" customFormat="1" ht="21.6" customHeight="1">
      <c r="A38" s="26">
        <v>37</v>
      </c>
      <c r="B38" s="27" t="s">
        <v>260</v>
      </c>
      <c r="C38" s="27" t="s">
        <v>737</v>
      </c>
      <c r="D38" s="27" t="str">
        <f t="shared" si="0"/>
        <v>keyFunc_pptSectionExpandAll</v>
      </c>
      <c r="E38" s="27" t="str">
        <f t="shared" si="3"/>
        <v>keyFunc_pptSectionExpandAll() {</v>
      </c>
      <c r="F38" s="28" t="s">
        <v>702</v>
      </c>
      <c r="G38" s="27" t="str">
        <f t="shared" si="4"/>
        <v xml:space="preserve">    pptApp.CommandBars.ExecuteMso("SectionExpandAll")                ;展开所有分区</v>
      </c>
      <c r="H38" s="27" t="s">
        <v>704</v>
      </c>
    </row>
    <row r="39" spans="1:8" s="33" customFormat="1" ht="21.6" customHeight="1">
      <c r="A39" s="32">
        <v>38</v>
      </c>
      <c r="B39" s="33" t="s">
        <v>261</v>
      </c>
      <c r="C39" s="33" t="s">
        <v>893</v>
      </c>
      <c r="D39" s="33" t="str">
        <f t="shared" si="0"/>
        <v>keyFunc_pptGroupFont</v>
      </c>
      <c r="E39" s="33" t="str">
        <f t="shared" si="3"/>
        <v>keyFunc_pptGroupFont() {</v>
      </c>
      <c r="F39" s="34" t="s">
        <v>702</v>
      </c>
      <c r="G39" s="33" t="str">
        <f t="shared" si="4"/>
        <v xml:space="preserve">    pptApp.CommandBars.ExecuteMso("GroupFont")                ;字体分组</v>
      </c>
      <c r="H39" s="33" t="s">
        <v>704</v>
      </c>
    </row>
    <row r="40" spans="1:8" s="33" customFormat="1" ht="21.6" customHeight="1">
      <c r="A40" s="32">
        <v>39</v>
      </c>
      <c r="B40" s="33" t="s">
        <v>262</v>
      </c>
      <c r="C40" s="33" t="s">
        <v>894</v>
      </c>
      <c r="D40" s="33" t="str">
        <f t="shared" si="0"/>
        <v>keyFunc_pptFont</v>
      </c>
      <c r="E40" s="33" t="str">
        <f t="shared" si="3"/>
        <v>keyFunc_pptFont() {</v>
      </c>
      <c r="F40" s="34" t="s">
        <v>702</v>
      </c>
      <c r="G40" s="33" t="str">
        <f t="shared" si="4"/>
        <v xml:space="preserve">    pptApp.CommandBars.ExecuteMso("Font")                ;字体</v>
      </c>
      <c r="H40" s="33" t="s">
        <v>704</v>
      </c>
    </row>
    <row r="41" spans="1:8" s="33" customFormat="1" ht="21.6" customHeight="1">
      <c r="A41" s="32">
        <v>40</v>
      </c>
      <c r="B41" s="33" t="s">
        <v>263</v>
      </c>
      <c r="C41" s="33" t="s">
        <v>895</v>
      </c>
      <c r="D41" s="33" t="str">
        <f t="shared" si="0"/>
        <v>keyFunc_pptFontSize</v>
      </c>
      <c r="E41" s="33" t="str">
        <f t="shared" si="3"/>
        <v>keyFunc_pptFontSize() {</v>
      </c>
      <c r="F41" s="34" t="s">
        <v>702</v>
      </c>
      <c r="G41" s="33" t="str">
        <f t="shared" si="4"/>
        <v xml:space="preserve">    pptApp.CommandBars.ExecuteMso("FontSize")                ;字号</v>
      </c>
      <c r="H41" s="33" t="s">
        <v>704</v>
      </c>
    </row>
    <row r="42" spans="1:8" ht="21.6" customHeight="1">
      <c r="A42" s="23">
        <v>41</v>
      </c>
      <c r="B42" s="24" t="s">
        <v>264</v>
      </c>
      <c r="C42" s="24" t="s">
        <v>738</v>
      </c>
      <c r="D42" s="24" t="str">
        <f t="shared" si="0"/>
        <v>keyFunc_pptFontSizeIncrease</v>
      </c>
      <c r="E42" s="24" t="str">
        <f t="shared" si="3"/>
        <v>keyFunc_pptFontSizeIncrease() {</v>
      </c>
      <c r="F42" s="22" t="s">
        <v>702</v>
      </c>
      <c r="G42" s="24" t="str">
        <f t="shared" si="4"/>
        <v xml:space="preserve">    pptApp.CommandBars.ExecuteMso("FontSizeIncrease")                ;增大字号</v>
      </c>
      <c r="H42" s="24" t="s">
        <v>704</v>
      </c>
    </row>
    <row r="43" spans="1:8" ht="21.6" customHeight="1">
      <c r="A43" s="23">
        <v>42</v>
      </c>
      <c r="B43" s="24" t="s">
        <v>265</v>
      </c>
      <c r="C43" s="24" t="s">
        <v>739</v>
      </c>
      <c r="D43" s="24" t="str">
        <f t="shared" si="0"/>
        <v>keyFunc_pptFontSizeDecrease</v>
      </c>
      <c r="E43" s="24" t="str">
        <f t="shared" si="3"/>
        <v>keyFunc_pptFontSizeDecrease() {</v>
      </c>
      <c r="F43" s="22" t="s">
        <v>702</v>
      </c>
      <c r="G43" s="24" t="str">
        <f t="shared" si="4"/>
        <v xml:space="preserve">    pptApp.CommandBars.ExecuteMso("FontSizeDecrease")                ;减小字号</v>
      </c>
      <c r="H43" s="24" t="s">
        <v>704</v>
      </c>
    </row>
    <row r="44" spans="1:8" ht="21.6" customHeight="1">
      <c r="A44" s="23">
        <v>43</v>
      </c>
      <c r="B44" s="24" t="s">
        <v>266</v>
      </c>
      <c r="C44" s="24" t="s">
        <v>740</v>
      </c>
      <c r="D44" s="24" t="str">
        <f t="shared" si="0"/>
        <v>keyFunc_pptClearFormatting</v>
      </c>
      <c r="E44" s="24" t="str">
        <f t="shared" si="3"/>
        <v>keyFunc_pptClearFormatting() {</v>
      </c>
      <c r="F44" s="22" t="s">
        <v>702</v>
      </c>
      <c r="G44" s="24" t="str">
        <f t="shared" si="4"/>
        <v xml:space="preserve">    pptApp.CommandBars.ExecuteMso("ClearFormatting")                ;清除格式</v>
      </c>
      <c r="H44" s="24" t="s">
        <v>704</v>
      </c>
    </row>
    <row r="45" spans="1:8" ht="21.6" customHeight="1">
      <c r="A45" s="23">
        <v>44</v>
      </c>
      <c r="B45" s="24" t="s">
        <v>267</v>
      </c>
      <c r="C45" s="24" t="s">
        <v>741</v>
      </c>
      <c r="D45" s="24" t="str">
        <f t="shared" si="0"/>
        <v>keyFunc_pptBold</v>
      </c>
      <c r="E45" s="24" t="str">
        <f t="shared" si="3"/>
        <v>keyFunc_pptBold() {</v>
      </c>
      <c r="F45" s="22" t="s">
        <v>702</v>
      </c>
      <c r="G45" s="24" t="str">
        <f t="shared" si="4"/>
        <v xml:space="preserve">    pptApp.CommandBars.ExecuteMso("Bold")                ;加粗</v>
      </c>
      <c r="H45" s="24" t="s">
        <v>704</v>
      </c>
    </row>
    <row r="46" spans="1:8" ht="21.6" customHeight="1">
      <c r="A46" s="23">
        <v>45</v>
      </c>
      <c r="B46" s="24" t="s">
        <v>268</v>
      </c>
      <c r="C46" s="24" t="s">
        <v>742</v>
      </c>
      <c r="D46" s="24" t="str">
        <f t="shared" si="0"/>
        <v>keyFunc_pptItalic</v>
      </c>
      <c r="E46" s="24" t="str">
        <f t="shared" si="3"/>
        <v>keyFunc_pptItalic() {</v>
      </c>
      <c r="F46" s="22" t="s">
        <v>702</v>
      </c>
      <c r="G46" s="24" t="str">
        <f t="shared" si="4"/>
        <v xml:space="preserve">    pptApp.CommandBars.ExecuteMso("Italic")                ;斜体</v>
      </c>
      <c r="H46" s="24" t="s">
        <v>704</v>
      </c>
    </row>
    <row r="47" spans="1:8" s="27" customFormat="1" ht="21.6" customHeight="1">
      <c r="A47" s="26">
        <v>46</v>
      </c>
      <c r="B47" s="27" t="s">
        <v>269</v>
      </c>
      <c r="C47" s="27" t="s">
        <v>743</v>
      </c>
      <c r="D47" s="27" t="str">
        <f t="shared" si="0"/>
        <v>keyFunc_pptUnderline</v>
      </c>
      <c r="E47" s="27" t="str">
        <f t="shared" si="3"/>
        <v>keyFunc_pptUnderline() {</v>
      </c>
      <c r="F47" s="28" t="s">
        <v>702</v>
      </c>
      <c r="G47" s="27" t="str">
        <f t="shared" si="4"/>
        <v xml:space="preserve">    pptApp.CommandBars.ExecuteMso("Underline")                ;下划线</v>
      </c>
      <c r="H47" s="27" t="s">
        <v>704</v>
      </c>
    </row>
    <row r="48" spans="1:8" s="27" customFormat="1" ht="21.6" customHeight="1">
      <c r="A48" s="26">
        <v>47</v>
      </c>
      <c r="B48" s="27" t="s">
        <v>270</v>
      </c>
      <c r="C48" s="27" t="s">
        <v>744</v>
      </c>
      <c r="D48" s="27" t="str">
        <f t="shared" si="0"/>
        <v>keyFunc_pptShadow</v>
      </c>
      <c r="E48" s="27" t="str">
        <f t="shared" si="3"/>
        <v>keyFunc_pptShadow() {</v>
      </c>
      <c r="F48" s="28" t="s">
        <v>702</v>
      </c>
      <c r="G48" s="27" t="str">
        <f t="shared" si="4"/>
        <v xml:space="preserve">    pptApp.CommandBars.ExecuteMso("Shadow")                ;阴影</v>
      </c>
      <c r="H48" s="27" t="s">
        <v>704</v>
      </c>
    </row>
    <row r="49" spans="1:8" s="27" customFormat="1" ht="21.6" customHeight="1">
      <c r="A49" s="26">
        <v>48</v>
      </c>
      <c r="B49" s="27" t="s">
        <v>271</v>
      </c>
      <c r="C49" s="27" t="s">
        <v>745</v>
      </c>
      <c r="D49" s="27" t="str">
        <f t="shared" si="0"/>
        <v>keyFunc_pptStrikethrough</v>
      </c>
      <c r="E49" s="27" t="str">
        <f t="shared" si="3"/>
        <v>keyFunc_pptStrikethrough() {</v>
      </c>
      <c r="F49" s="28" t="s">
        <v>702</v>
      </c>
      <c r="G49" s="27" t="str">
        <f t="shared" si="4"/>
        <v xml:space="preserve">    pptApp.CommandBars.ExecuteMso("Strikethrough")                ;删除线</v>
      </c>
      <c r="H49" s="27" t="s">
        <v>704</v>
      </c>
    </row>
    <row r="50" spans="1:8" s="33" customFormat="1" ht="21.6" customHeight="1">
      <c r="A50" s="32">
        <v>49</v>
      </c>
      <c r="B50" s="33" t="s">
        <v>272</v>
      </c>
      <c r="C50" s="33" t="s">
        <v>896</v>
      </c>
      <c r="D50" s="33" t="str">
        <f t="shared" si="0"/>
        <v>keyFunc_pptCharacterSpacingGallery</v>
      </c>
      <c r="E50" s="33" t="str">
        <f t="shared" si="3"/>
        <v>keyFunc_pptCharacterSpacingGallery() {</v>
      </c>
      <c r="F50" s="34" t="s">
        <v>702</v>
      </c>
      <c r="G50" s="33" t="str">
        <f t="shared" si="4"/>
        <v xml:space="preserve">    pptApp.CommandBars.ExecuteMso("CharacterSpacingGallery")                ;字符间距图库</v>
      </c>
      <c r="H50" s="33" t="s">
        <v>704</v>
      </c>
    </row>
    <row r="51" spans="1:8" s="33" customFormat="1" ht="21.6" customHeight="1">
      <c r="A51" s="32">
        <v>50</v>
      </c>
      <c r="B51" s="33" t="s">
        <v>273</v>
      </c>
      <c r="C51" s="33" t="s">
        <v>897</v>
      </c>
      <c r="D51" s="33" t="str">
        <f t="shared" si="0"/>
        <v>keyFunc_pptChangeCaseGallery</v>
      </c>
      <c r="E51" s="33" t="str">
        <f t="shared" si="3"/>
        <v>keyFunc_pptChangeCaseGallery() {</v>
      </c>
      <c r="F51" s="34" t="s">
        <v>702</v>
      </c>
      <c r="G51" s="33" t="str">
        <f t="shared" si="4"/>
        <v xml:space="preserve">    pptApp.CommandBars.ExecuteMso("ChangeCaseGallery")                ;更改大小写图库</v>
      </c>
      <c r="H51" s="33" t="s">
        <v>704</v>
      </c>
    </row>
    <row r="52" spans="1:8" s="30" customFormat="1" ht="21.6" customHeight="1">
      <c r="A52" s="29">
        <v>51</v>
      </c>
      <c r="B52" s="30" t="s">
        <v>274</v>
      </c>
      <c r="C52" s="30" t="s">
        <v>898</v>
      </c>
      <c r="D52" s="30" t="str">
        <f t="shared" si="0"/>
        <v>keyFunc_pptFontColorPicker</v>
      </c>
      <c r="E52" s="30" t="str">
        <f t="shared" si="3"/>
        <v>keyFunc_pptFontColorPicker() {</v>
      </c>
      <c r="F52" s="31" t="s">
        <v>702</v>
      </c>
      <c r="G52" s="30" t="str">
        <f t="shared" si="4"/>
        <v xml:space="preserve">    pptApp.CommandBars.ExecuteMso("FontColorPicker")                ;字体颜色选择器</v>
      </c>
      <c r="H52" s="30" t="s">
        <v>704</v>
      </c>
    </row>
    <row r="53" spans="1:8" ht="21.6" customHeight="1">
      <c r="A53" s="23">
        <v>52</v>
      </c>
      <c r="B53" s="24" t="s">
        <v>275</v>
      </c>
      <c r="C53" s="24" t="s">
        <v>746</v>
      </c>
      <c r="D53" s="24" t="str">
        <f t="shared" si="0"/>
        <v>keyFunc_pptFontColorMoreColorsDialogPowerPoint</v>
      </c>
      <c r="E53" s="24" t="str">
        <f t="shared" si="3"/>
        <v>keyFunc_pptFontColorMoreColorsDialogPowerPoint() {</v>
      </c>
      <c r="F53" s="22" t="s">
        <v>702</v>
      </c>
      <c r="G53" s="24" t="str">
        <f t="shared" si="4"/>
        <v xml:space="preserve">    pptApp.CommandBars.ExecuteMso("FontColorMoreColorsDialogPowerPoint")                ;字体颜色更多颜色对话框</v>
      </c>
      <c r="H53" s="24" t="s">
        <v>704</v>
      </c>
    </row>
    <row r="54" spans="1:8" ht="21.6" customHeight="1">
      <c r="A54" s="23">
        <v>53</v>
      </c>
      <c r="B54" s="24" t="s">
        <v>276</v>
      </c>
      <c r="C54" s="24" t="s">
        <v>747</v>
      </c>
      <c r="D54" s="24" t="str">
        <f t="shared" si="0"/>
        <v>keyFunc_pptEyedropperFillText</v>
      </c>
      <c r="E54" s="24" t="str">
        <f t="shared" si="3"/>
        <v>keyFunc_pptEyedropperFillText() {</v>
      </c>
      <c r="F54" s="22" t="s">
        <v>702</v>
      </c>
      <c r="G54" s="24" t="str">
        <f t="shared" si="4"/>
        <v xml:space="preserve">    pptApp.CommandBars.ExecuteMso("EyedropperFillText")                ;吸管填充文本</v>
      </c>
      <c r="H54" s="24" t="s">
        <v>704</v>
      </c>
    </row>
    <row r="55" spans="1:8" ht="21.6" customHeight="1">
      <c r="A55" s="23">
        <v>54</v>
      </c>
      <c r="B55" s="24" t="s">
        <v>277</v>
      </c>
      <c r="C55" s="24" t="s">
        <v>748</v>
      </c>
      <c r="D55" s="24" t="str">
        <f t="shared" si="0"/>
        <v>keyFunc_pptFontDialogPowerPoint</v>
      </c>
      <c r="E55" s="24" t="str">
        <f t="shared" si="3"/>
        <v>keyFunc_pptFontDialogPowerPoint() {</v>
      </c>
      <c r="F55" s="22" t="s">
        <v>702</v>
      </c>
      <c r="G55" s="24" t="str">
        <f t="shared" si="4"/>
        <v xml:space="preserve">    pptApp.CommandBars.ExecuteMso("FontDialogPowerPoint")                ;字体对话框</v>
      </c>
      <c r="H55" s="24" t="s">
        <v>704</v>
      </c>
    </row>
    <row r="56" spans="1:8" ht="21.6" customHeight="1">
      <c r="A56" s="23">
        <v>55</v>
      </c>
      <c r="B56" s="24" t="s">
        <v>278</v>
      </c>
      <c r="C56" s="24" t="s">
        <v>749</v>
      </c>
      <c r="D56" s="24" t="str">
        <f t="shared" si="0"/>
        <v>keyFunc_pptGroupParagraph</v>
      </c>
      <c r="E56" s="24" t="str">
        <f t="shared" si="3"/>
        <v>keyFunc_pptGroupParagraph() {</v>
      </c>
      <c r="F56" s="22" t="s">
        <v>702</v>
      </c>
      <c r="G56" s="24" t="str">
        <f t="shared" si="4"/>
        <v xml:space="preserve">    pptApp.CommandBars.ExecuteMso("GroupParagraph")                ;段落分组</v>
      </c>
      <c r="H56" s="24" t="s">
        <v>704</v>
      </c>
    </row>
    <row r="57" spans="1:8" s="27" customFormat="1" ht="21.6" customHeight="1">
      <c r="A57" s="26">
        <v>56</v>
      </c>
      <c r="B57" s="27" t="s">
        <v>279</v>
      </c>
      <c r="C57" s="27" t="s">
        <v>750</v>
      </c>
      <c r="D57" s="27" t="str">
        <f t="shared" si="0"/>
        <v>keyFunc_pptBulletsGallery</v>
      </c>
      <c r="E57" s="27" t="str">
        <f t="shared" si="3"/>
        <v>keyFunc_pptBulletsGallery() {</v>
      </c>
      <c r="F57" s="28" t="s">
        <v>702</v>
      </c>
      <c r="G57" s="27" t="str">
        <f t="shared" si="4"/>
        <v xml:space="preserve">    pptApp.CommandBars.ExecuteMso("BulletsGallery")                ;项目符号图库</v>
      </c>
      <c r="H57" s="27" t="s">
        <v>704</v>
      </c>
    </row>
    <row r="58" spans="1:8" s="27" customFormat="1" ht="21.6" customHeight="1">
      <c r="A58" s="26">
        <v>57</v>
      </c>
      <c r="B58" s="27" t="s">
        <v>280</v>
      </c>
      <c r="C58" s="27" t="s">
        <v>751</v>
      </c>
      <c r="D58" s="27" t="str">
        <f t="shared" si="0"/>
        <v>keyFunc_pptBulletsAndNumberingBulletsDialog</v>
      </c>
      <c r="E58" s="27" t="str">
        <f t="shared" si="3"/>
        <v>keyFunc_pptBulletsAndNumberingBulletsDialog() {</v>
      </c>
      <c r="F58" s="28" t="s">
        <v>702</v>
      </c>
      <c r="G58" s="27" t="str">
        <f t="shared" si="4"/>
        <v xml:space="preserve">    pptApp.CommandBars.ExecuteMso("BulletsAndNumberingBulletsDialog")                ;项目符号和编号项目符号对话框</v>
      </c>
      <c r="H58" s="27" t="s">
        <v>704</v>
      </c>
    </row>
    <row r="59" spans="1:8" s="27" customFormat="1" ht="21.6" customHeight="1">
      <c r="A59" s="26">
        <v>58</v>
      </c>
      <c r="B59" s="27" t="s">
        <v>281</v>
      </c>
      <c r="C59" s="27" t="s">
        <v>752</v>
      </c>
      <c r="D59" s="27" t="str">
        <f t="shared" si="0"/>
        <v>keyFunc_pptNumberingGallery</v>
      </c>
      <c r="E59" s="27" t="str">
        <f t="shared" si="3"/>
        <v>keyFunc_pptNumberingGallery() {</v>
      </c>
      <c r="F59" s="28" t="s">
        <v>702</v>
      </c>
      <c r="G59" s="27" t="str">
        <f t="shared" si="4"/>
        <v xml:space="preserve">    pptApp.CommandBars.ExecuteMso("NumberingGallery")                ;编号图库</v>
      </c>
      <c r="H59" s="27" t="s">
        <v>704</v>
      </c>
    </row>
    <row r="60" spans="1:8" s="27" customFormat="1" ht="21.6" customHeight="1">
      <c r="A60" s="26">
        <v>59</v>
      </c>
      <c r="B60" s="27" t="s">
        <v>282</v>
      </c>
      <c r="C60" s="27" t="s">
        <v>753</v>
      </c>
      <c r="D60" s="27" t="str">
        <f t="shared" si="0"/>
        <v>keyFunc_pptBulletsAndNumberingNumberingDialog</v>
      </c>
      <c r="E60" s="27" t="str">
        <f t="shared" si="3"/>
        <v>keyFunc_pptBulletsAndNumberingNumberingDialog() {</v>
      </c>
      <c r="F60" s="28" t="s">
        <v>702</v>
      </c>
      <c r="G60" s="27" t="str">
        <f t="shared" si="4"/>
        <v xml:space="preserve">    pptApp.CommandBars.ExecuteMso("BulletsAndNumberingNumberingDialog")                ;项目符号和编号编号对话框</v>
      </c>
      <c r="H60" s="27" t="s">
        <v>704</v>
      </c>
    </row>
    <row r="61" spans="1:8" s="27" customFormat="1" ht="21.6" customHeight="1">
      <c r="A61" s="26">
        <v>60</v>
      </c>
      <c r="B61" s="27" t="s">
        <v>283</v>
      </c>
      <c r="C61" s="27" t="s">
        <v>754</v>
      </c>
      <c r="D61" s="27" t="str">
        <f t="shared" si="0"/>
        <v>keyFunc_pptIndentDecrease</v>
      </c>
      <c r="E61" s="27" t="str">
        <f t="shared" si="3"/>
        <v>keyFunc_pptIndentDecrease() {</v>
      </c>
      <c r="F61" s="28" t="s">
        <v>702</v>
      </c>
      <c r="G61" s="27" t="str">
        <f t="shared" si="4"/>
        <v xml:space="preserve">    pptApp.CommandBars.ExecuteMso("IndentDecrease")                ;减少缩进</v>
      </c>
      <c r="H61" s="27" t="s">
        <v>704</v>
      </c>
    </row>
    <row r="62" spans="1:8" ht="21.6" customHeight="1">
      <c r="A62" s="23">
        <v>61</v>
      </c>
      <c r="B62" s="24" t="s">
        <v>284</v>
      </c>
      <c r="C62" s="24" t="s">
        <v>755</v>
      </c>
      <c r="D62" s="24" t="str">
        <f t="shared" si="0"/>
        <v>keyFunc_pptIndentIncrease</v>
      </c>
      <c r="E62" s="24" t="str">
        <f t="shared" si="3"/>
        <v>keyFunc_pptIndentIncrease() {</v>
      </c>
      <c r="F62" s="22" t="s">
        <v>702</v>
      </c>
      <c r="G62" s="24" t="str">
        <f t="shared" si="4"/>
        <v xml:space="preserve">    pptApp.CommandBars.ExecuteMso("IndentIncrease")                ;增加缩进</v>
      </c>
      <c r="H62" s="24" t="s">
        <v>704</v>
      </c>
    </row>
    <row r="63" spans="1:8" ht="21.6" customHeight="1">
      <c r="A63" s="23">
        <v>62</v>
      </c>
      <c r="B63" s="24" t="s">
        <v>285</v>
      </c>
      <c r="C63" s="24" t="s">
        <v>756</v>
      </c>
      <c r="D63" s="24" t="str">
        <f t="shared" si="0"/>
        <v>keyFunc_pptLineSpacingGalleryPowerPoint</v>
      </c>
      <c r="E63" s="24" t="str">
        <f t="shared" si="3"/>
        <v>keyFunc_pptLineSpacingGalleryPowerPoint() {</v>
      </c>
      <c r="F63" s="22" t="s">
        <v>702</v>
      </c>
      <c r="G63" s="24" t="str">
        <f t="shared" si="4"/>
        <v xml:space="preserve">    pptApp.CommandBars.ExecuteMso("LineSpacingGalleryPowerPoint")                ;行距图库</v>
      </c>
      <c r="H63" s="24" t="s">
        <v>704</v>
      </c>
    </row>
    <row r="64" spans="1:8" ht="21.6" customHeight="1">
      <c r="A64" s="23">
        <v>63</v>
      </c>
      <c r="B64" s="24" t="s">
        <v>2161</v>
      </c>
      <c r="C64" s="24" t="s">
        <v>757</v>
      </c>
      <c r="D64" s="24" t="str">
        <f t="shared" si="0"/>
        <v>keyFunc_pptAlignLeft</v>
      </c>
      <c r="E64" s="24" t="str">
        <f t="shared" si="3"/>
        <v>keyFunc_pptAlignLeft() {</v>
      </c>
      <c r="F64" s="22" t="s">
        <v>702</v>
      </c>
      <c r="G64" s="24" t="str">
        <f t="shared" si="4"/>
        <v xml:space="preserve">    pptApp.CommandBars.ExecuteMso("AlignLeft")                ;左对齐</v>
      </c>
      <c r="H64" s="24" t="s">
        <v>704</v>
      </c>
    </row>
    <row r="65" spans="1:8" ht="21.6" customHeight="1">
      <c r="A65" s="23">
        <v>64</v>
      </c>
      <c r="B65" s="24" t="s">
        <v>286</v>
      </c>
      <c r="C65" s="24" t="s">
        <v>758</v>
      </c>
      <c r="D65" s="24" t="str">
        <f t="shared" si="0"/>
        <v>keyFunc_pptAlignCenter</v>
      </c>
      <c r="E65" s="24" t="str">
        <f t="shared" si="3"/>
        <v>keyFunc_pptAlignCenter() {</v>
      </c>
      <c r="F65" s="22" t="s">
        <v>702</v>
      </c>
      <c r="G65" s="24" t="str">
        <f t="shared" si="4"/>
        <v xml:space="preserve">    pptApp.CommandBars.ExecuteMso("AlignCenter")                ;居中对齐</v>
      </c>
      <c r="H65" s="24" t="s">
        <v>704</v>
      </c>
    </row>
    <row r="66" spans="1:8" ht="21.6" customHeight="1">
      <c r="A66" s="23">
        <v>65</v>
      </c>
      <c r="B66" s="24" t="s">
        <v>287</v>
      </c>
      <c r="C66" s="24" t="s">
        <v>759</v>
      </c>
      <c r="D66" s="24" t="str">
        <f t="shared" si="0"/>
        <v>keyFunc_pptAlignRight</v>
      </c>
      <c r="E66" s="24" t="str">
        <f t="shared" ref="E66:E97" si="5">"keyFunc_ppt" &amp; B66 &amp; "() {"</f>
        <v>keyFunc_pptAlignRight() {</v>
      </c>
      <c r="F66" s="22" t="s">
        <v>702</v>
      </c>
      <c r="G66" s="24" t="str">
        <f t="shared" ref="G66:G97" si="6">"    pptApp.CommandBars.ExecuteMso(""" &amp; B66 &amp;""")                ;" &amp; C66</f>
        <v xml:space="preserve">    pptApp.CommandBars.ExecuteMso("AlignRight")                ;右对齐</v>
      </c>
      <c r="H66" s="24" t="s">
        <v>704</v>
      </c>
    </row>
    <row r="67" spans="1:8" s="27" customFormat="1" ht="21.6" customHeight="1">
      <c r="A67" s="26">
        <v>66</v>
      </c>
      <c r="B67" s="27" t="s">
        <v>288</v>
      </c>
      <c r="C67" s="27" t="s">
        <v>760</v>
      </c>
      <c r="D67" s="27" t="str">
        <f t="shared" ref="D67:D130" si="7">"keyFunc_ppt" &amp; B67</f>
        <v>keyFunc_pptAlignJustify</v>
      </c>
      <c r="E67" s="27" t="str">
        <f t="shared" si="5"/>
        <v>keyFunc_pptAlignJustify() {</v>
      </c>
      <c r="F67" s="28" t="s">
        <v>702</v>
      </c>
      <c r="G67" s="27" t="str">
        <f t="shared" si="6"/>
        <v xml:space="preserve">    pptApp.CommandBars.ExecuteMso("AlignJustify")                ;两端对齐</v>
      </c>
      <c r="H67" s="27" t="s">
        <v>704</v>
      </c>
    </row>
    <row r="68" spans="1:8" s="27" customFormat="1" ht="21.6" customHeight="1">
      <c r="A68" s="26">
        <v>67</v>
      </c>
      <c r="B68" s="27" t="s">
        <v>289</v>
      </c>
      <c r="C68" s="27" t="s">
        <v>761</v>
      </c>
      <c r="D68" s="27" t="str">
        <f t="shared" si="7"/>
        <v>keyFunc_pptAlignJustifyMenu</v>
      </c>
      <c r="E68" s="27" t="str">
        <f t="shared" si="5"/>
        <v>keyFunc_pptAlignJustifyMenu() {</v>
      </c>
      <c r="F68" s="28" t="s">
        <v>702</v>
      </c>
      <c r="G68" s="27" t="str">
        <f t="shared" si="6"/>
        <v xml:space="preserve">    pptApp.CommandBars.ExecuteMso("AlignJustifyMenu")                ;两端对齐菜单</v>
      </c>
      <c r="H68" s="27" t="s">
        <v>704</v>
      </c>
    </row>
    <row r="69" spans="1:8" s="27" customFormat="1" ht="21.6" customHeight="1">
      <c r="A69" s="26">
        <v>68</v>
      </c>
      <c r="B69" s="27" t="s">
        <v>290</v>
      </c>
      <c r="C69" s="27" t="s">
        <v>762</v>
      </c>
      <c r="D69" s="27" t="str">
        <f t="shared" si="7"/>
        <v>keyFunc_pptAlignJustifyWithMixedLanguages</v>
      </c>
      <c r="E69" s="27" t="str">
        <f t="shared" si="5"/>
        <v>keyFunc_pptAlignJustifyWithMixedLanguages() {</v>
      </c>
      <c r="F69" s="28" t="s">
        <v>702</v>
      </c>
      <c r="G69" s="27" t="str">
        <f t="shared" si="6"/>
        <v xml:space="preserve">    pptApp.CommandBars.ExecuteMso("AlignJustifyWithMixedLanguages")                ;混合语言两端对齐</v>
      </c>
      <c r="H69" s="27" t="s">
        <v>704</v>
      </c>
    </row>
    <row r="70" spans="1:8" s="27" customFormat="1" ht="21.6" customHeight="1">
      <c r="A70" s="26">
        <v>69</v>
      </c>
      <c r="B70" s="27" t="s">
        <v>291</v>
      </c>
      <c r="C70" s="27" t="s">
        <v>763</v>
      </c>
      <c r="D70" s="27" t="str">
        <f t="shared" si="7"/>
        <v>keyFunc_pptAlignJustifyLow</v>
      </c>
      <c r="E70" s="27" t="str">
        <f t="shared" si="5"/>
        <v>keyFunc_pptAlignJustifyLow() {</v>
      </c>
      <c r="F70" s="28" t="s">
        <v>702</v>
      </c>
      <c r="G70" s="27" t="str">
        <f t="shared" si="6"/>
        <v xml:space="preserve">    pptApp.CommandBars.ExecuteMso("AlignJustifyLow")                ;低级两端对齐</v>
      </c>
      <c r="H70" s="27" t="s">
        <v>704</v>
      </c>
    </row>
    <row r="71" spans="1:8" s="27" customFormat="1" ht="21.6" customHeight="1">
      <c r="A71" s="26">
        <v>70</v>
      </c>
      <c r="B71" s="27" t="s">
        <v>292</v>
      </c>
      <c r="C71" s="27" t="s">
        <v>764</v>
      </c>
      <c r="D71" s="27" t="str">
        <f t="shared" si="7"/>
        <v>keyFunc_pptParagraphDistributed</v>
      </c>
      <c r="E71" s="27" t="str">
        <f t="shared" si="5"/>
        <v>keyFunc_pptParagraphDistributed() {</v>
      </c>
      <c r="F71" s="28" t="s">
        <v>702</v>
      </c>
      <c r="G71" s="27" t="str">
        <f t="shared" si="6"/>
        <v xml:space="preserve">    pptApp.CommandBars.ExecuteMso("ParagraphDistributed")                ;分散对齐</v>
      </c>
      <c r="H71" s="27" t="s">
        <v>704</v>
      </c>
    </row>
    <row r="72" spans="1:8" ht="21.6" customHeight="1">
      <c r="A72" s="23">
        <v>71</v>
      </c>
      <c r="B72" s="24" t="s">
        <v>293</v>
      </c>
      <c r="C72" s="24" t="s">
        <v>765</v>
      </c>
      <c r="D72" s="24" t="str">
        <f t="shared" si="7"/>
        <v>keyFunc_pptAlignJustifyThai</v>
      </c>
      <c r="E72" s="24" t="str">
        <f t="shared" si="5"/>
        <v>keyFunc_pptAlignJustifyThai() {</v>
      </c>
      <c r="F72" s="22" t="s">
        <v>702</v>
      </c>
      <c r="G72" s="24" t="str">
        <f t="shared" si="6"/>
        <v xml:space="preserve">    pptApp.CommandBars.ExecuteMso("AlignJustifyThai")                ;泰语两端对齐</v>
      </c>
      <c r="H72" s="24" t="s">
        <v>704</v>
      </c>
    </row>
    <row r="73" spans="1:8" ht="21.6" customHeight="1">
      <c r="A73" s="23">
        <v>72</v>
      </c>
      <c r="B73" s="24" t="s">
        <v>294</v>
      </c>
      <c r="C73" s="24" t="s">
        <v>766</v>
      </c>
      <c r="D73" s="24" t="str">
        <f t="shared" si="7"/>
        <v>keyFunc_pptTextDirectionLeftToRight</v>
      </c>
      <c r="E73" s="24" t="str">
        <f t="shared" si="5"/>
        <v>keyFunc_pptTextDirectionLeftToRight() {</v>
      </c>
      <c r="F73" s="22" t="s">
        <v>702</v>
      </c>
      <c r="G73" s="24" t="str">
        <f t="shared" si="6"/>
        <v xml:space="preserve">    pptApp.CommandBars.ExecuteMso("TextDirectionLeftToRight")                ;文本方向从左到右</v>
      </c>
      <c r="H73" s="24" t="s">
        <v>704</v>
      </c>
    </row>
    <row r="74" spans="1:8" ht="21.6" customHeight="1">
      <c r="A74" s="23">
        <v>73</v>
      </c>
      <c r="B74" s="24" t="s">
        <v>295</v>
      </c>
      <c r="C74" s="24" t="s">
        <v>767</v>
      </c>
      <c r="D74" s="24" t="str">
        <f t="shared" si="7"/>
        <v>keyFunc_pptTextDirectionRightToLeft</v>
      </c>
      <c r="E74" s="24" t="str">
        <f t="shared" si="5"/>
        <v>keyFunc_pptTextDirectionRightToLeft() {</v>
      </c>
      <c r="F74" s="22" t="s">
        <v>702</v>
      </c>
      <c r="G74" s="24" t="str">
        <f t="shared" si="6"/>
        <v xml:space="preserve">    pptApp.CommandBars.ExecuteMso("TextDirectionRightToLeft")                ;文本方向从右到左</v>
      </c>
      <c r="H74" s="24" t="s">
        <v>704</v>
      </c>
    </row>
    <row r="75" spans="1:8" ht="21.6" customHeight="1">
      <c r="A75" s="23">
        <v>74</v>
      </c>
      <c r="B75" s="24" t="s">
        <v>296</v>
      </c>
      <c r="C75" s="24" t="s">
        <v>768</v>
      </c>
      <c r="D75" s="24" t="str">
        <f t="shared" si="7"/>
        <v>keyFunc_pptTableColumnsGallery</v>
      </c>
      <c r="E75" s="24" t="str">
        <f t="shared" si="5"/>
        <v>keyFunc_pptTableColumnsGallery() {</v>
      </c>
      <c r="F75" s="22" t="s">
        <v>702</v>
      </c>
      <c r="G75" s="24" t="str">
        <f t="shared" si="6"/>
        <v xml:space="preserve">    pptApp.CommandBars.ExecuteMso("TableColumnsGallery")                ;表格列图库</v>
      </c>
      <c r="H75" s="24" t="s">
        <v>704</v>
      </c>
    </row>
    <row r="76" spans="1:8" ht="21.6" customHeight="1">
      <c r="A76" s="23">
        <v>75</v>
      </c>
      <c r="B76" s="24" t="s">
        <v>297</v>
      </c>
      <c r="C76" s="24" t="s">
        <v>769</v>
      </c>
      <c r="D76" s="24" t="str">
        <f t="shared" si="7"/>
        <v>keyFunc_pptParagraphMoreColumnsDialog</v>
      </c>
      <c r="E76" s="24" t="str">
        <f t="shared" si="5"/>
        <v>keyFunc_pptParagraphMoreColumnsDialog() {</v>
      </c>
      <c r="F76" s="22" t="s">
        <v>702</v>
      </c>
      <c r="G76" s="24" t="str">
        <f t="shared" si="6"/>
        <v xml:space="preserve">    pptApp.CommandBars.ExecuteMso("ParagraphMoreColumnsDialog")                ;段落更多列对话框</v>
      </c>
      <c r="H76" s="24" t="s">
        <v>704</v>
      </c>
    </row>
    <row r="77" spans="1:8" s="27" customFormat="1" ht="21.6" customHeight="1">
      <c r="A77" s="26">
        <v>76</v>
      </c>
      <c r="B77" s="27" t="s">
        <v>298</v>
      </c>
      <c r="C77" s="27" t="s">
        <v>770</v>
      </c>
      <c r="D77" s="27" t="str">
        <f t="shared" si="7"/>
        <v>keyFunc_pptTextDirectionGallery</v>
      </c>
      <c r="E77" s="27" t="str">
        <f t="shared" si="5"/>
        <v>keyFunc_pptTextDirectionGallery() {</v>
      </c>
      <c r="F77" s="28" t="s">
        <v>702</v>
      </c>
      <c r="G77" s="27" t="str">
        <f t="shared" si="6"/>
        <v xml:space="preserve">    pptApp.CommandBars.ExecuteMso("TextDirectionGallery")                ;文本方向图库</v>
      </c>
      <c r="H77" s="27" t="s">
        <v>704</v>
      </c>
    </row>
    <row r="78" spans="1:8" s="27" customFormat="1" ht="21.6" customHeight="1">
      <c r="A78" s="26">
        <v>77</v>
      </c>
      <c r="B78" s="27" t="s">
        <v>307</v>
      </c>
      <c r="C78" s="27" t="s">
        <v>771</v>
      </c>
      <c r="D78" s="27" t="str">
        <f t="shared" si="7"/>
        <v>keyFunc_pptTextDirectionMoreOptionsDialog</v>
      </c>
      <c r="E78" s="27" t="str">
        <f t="shared" si="5"/>
        <v>keyFunc_pptTextDirectionMoreOptionsDialog() {</v>
      </c>
      <c r="F78" s="28" t="s">
        <v>702</v>
      </c>
      <c r="G78" s="27" t="str">
        <f t="shared" si="6"/>
        <v xml:space="preserve">    pptApp.CommandBars.ExecuteMso("TextDirectionMoreOptionsDialog")                ;文本方向更多选项对话框</v>
      </c>
      <c r="H78" s="27" t="s">
        <v>704</v>
      </c>
    </row>
    <row r="79" spans="1:8" s="27" customFormat="1" ht="21.6" customHeight="1">
      <c r="A79" s="26">
        <v>78</v>
      </c>
      <c r="B79" s="27" t="s">
        <v>299</v>
      </c>
      <c r="C79" s="27" t="s">
        <v>772</v>
      </c>
      <c r="D79" s="27" t="str">
        <f t="shared" si="7"/>
        <v>keyFunc_pptTextAlignGallery</v>
      </c>
      <c r="E79" s="27" t="str">
        <f t="shared" si="5"/>
        <v>keyFunc_pptTextAlignGallery() {</v>
      </c>
      <c r="F79" s="28" t="s">
        <v>702</v>
      </c>
      <c r="G79" s="27" t="str">
        <f t="shared" si="6"/>
        <v xml:space="preserve">    pptApp.CommandBars.ExecuteMso("TextAlignGallery")                ;文本对齐图库</v>
      </c>
      <c r="H79" s="27" t="s">
        <v>704</v>
      </c>
    </row>
    <row r="80" spans="1:8" s="27" customFormat="1" ht="21.6" customHeight="1">
      <c r="A80" s="26">
        <v>79</v>
      </c>
      <c r="B80" s="27" t="s">
        <v>308</v>
      </c>
      <c r="C80" s="27" t="s">
        <v>773</v>
      </c>
      <c r="D80" s="27" t="str">
        <f t="shared" si="7"/>
        <v>keyFunc_pptTextAlignMoreOptionsDialog</v>
      </c>
      <c r="E80" s="27" t="str">
        <f t="shared" si="5"/>
        <v>keyFunc_pptTextAlignMoreOptionsDialog() {</v>
      </c>
      <c r="F80" s="28" t="s">
        <v>702</v>
      </c>
      <c r="G80" s="27" t="str">
        <f t="shared" si="6"/>
        <v xml:space="preserve">    pptApp.CommandBars.ExecuteMso("TextAlignMoreOptionsDialog")                ;文本对齐更多选项对话框</v>
      </c>
      <c r="H80" s="27" t="s">
        <v>704</v>
      </c>
    </row>
    <row r="81" spans="1:8" s="27" customFormat="1" ht="21.6" customHeight="1">
      <c r="A81" s="26">
        <v>80</v>
      </c>
      <c r="B81" s="27" t="s">
        <v>300</v>
      </c>
      <c r="C81" s="27" t="s">
        <v>774</v>
      </c>
      <c r="D81" s="27" t="str">
        <f t="shared" si="7"/>
        <v>keyFunc_pptConvertToSmartArt</v>
      </c>
      <c r="E81" s="27" t="str">
        <f t="shared" si="5"/>
        <v>keyFunc_pptConvertToSmartArt() {</v>
      </c>
      <c r="F81" s="28" t="s">
        <v>702</v>
      </c>
      <c r="G81" s="27" t="str">
        <f t="shared" si="6"/>
        <v xml:space="preserve">    pptApp.CommandBars.ExecuteMso("ConvertToSmartArt")                ;转换为智能图形</v>
      </c>
      <c r="H81" s="27" t="s">
        <v>704</v>
      </c>
    </row>
    <row r="82" spans="1:8" ht="21.6" customHeight="1">
      <c r="A82" s="23">
        <v>81</v>
      </c>
      <c r="B82" s="24" t="s">
        <v>301</v>
      </c>
      <c r="C82" s="24" t="s">
        <v>775</v>
      </c>
      <c r="D82" s="24" t="str">
        <f t="shared" si="7"/>
        <v>keyFunc_pptConvertToSmartArtMoreSmartArtGraphicsDialog</v>
      </c>
      <c r="E82" s="24" t="str">
        <f t="shared" si="5"/>
        <v>keyFunc_pptConvertToSmartArtMoreSmartArtGraphicsDialog() {</v>
      </c>
      <c r="F82" s="22" t="s">
        <v>702</v>
      </c>
      <c r="G82" s="24" t="str">
        <f t="shared" si="6"/>
        <v xml:space="preserve">    pptApp.CommandBars.ExecuteMso("ConvertToSmartArtMoreSmartArtGraphicsDialog")                ;转换为智能图形更多智能图形对话框</v>
      </c>
      <c r="H82" s="24" t="s">
        <v>704</v>
      </c>
    </row>
    <row r="83" spans="1:8" ht="21.6" customHeight="1">
      <c r="A83" s="23">
        <v>82</v>
      </c>
      <c r="B83" s="24" t="s">
        <v>302</v>
      </c>
      <c r="C83" s="24" t="s">
        <v>312</v>
      </c>
      <c r="D83" s="24" t="str">
        <f t="shared" si="7"/>
        <v>keyFunc_pptPowerPointParagraphDialog</v>
      </c>
      <c r="E83" s="24" t="str">
        <f t="shared" si="5"/>
        <v>keyFunc_pptPowerPointParagraphDialog() {</v>
      </c>
      <c r="F83" s="22" t="s">
        <v>702</v>
      </c>
      <c r="G83" s="24" t="str">
        <f t="shared" si="6"/>
        <v xml:space="preserve">    pptApp.CommandBars.ExecuteMso("PowerPointParagraphDialog")                ;PowerPoint</v>
      </c>
      <c r="H83" s="24" t="s">
        <v>704</v>
      </c>
    </row>
    <row r="84" spans="1:8" ht="21.6" customHeight="1">
      <c r="A84" s="23">
        <v>83</v>
      </c>
      <c r="B84" s="24" t="s">
        <v>313</v>
      </c>
      <c r="C84" s="24" t="s">
        <v>776</v>
      </c>
      <c r="D84" s="24" t="str">
        <f t="shared" si="7"/>
        <v>keyFunc_pptGroupDrawing</v>
      </c>
      <c r="E84" s="24" t="str">
        <f t="shared" si="5"/>
        <v>keyFunc_pptGroupDrawing() {</v>
      </c>
      <c r="F84" s="22" t="s">
        <v>702</v>
      </c>
      <c r="G84" s="24" t="str">
        <f t="shared" si="6"/>
        <v xml:space="preserve">    pptApp.CommandBars.ExecuteMso("GroupDrawing")                ;组织绘图</v>
      </c>
      <c r="H84" s="24" t="s">
        <v>704</v>
      </c>
    </row>
    <row r="85" spans="1:8" ht="21.6" customHeight="1">
      <c r="A85" s="23">
        <v>84</v>
      </c>
      <c r="B85" s="24" t="s">
        <v>314</v>
      </c>
      <c r="C85" s="24" t="s">
        <v>777</v>
      </c>
      <c r="D85" s="24" t="str">
        <f t="shared" si="7"/>
        <v>keyFunc_pptGalleryAllShapesAndTextboxes</v>
      </c>
      <c r="E85" s="24" t="str">
        <f t="shared" si="5"/>
        <v>keyFunc_pptGalleryAllShapesAndTextboxes() {</v>
      </c>
      <c r="F85" s="22" t="s">
        <v>702</v>
      </c>
      <c r="G85" s="24" t="str">
        <f t="shared" si="6"/>
        <v xml:space="preserve">    pptApp.CommandBars.ExecuteMso("GalleryAllShapesAndTextboxes")                ;图库-所有形状和文本框</v>
      </c>
      <c r="H85" s="24" t="s">
        <v>704</v>
      </c>
    </row>
    <row r="86" spans="1:8" ht="21.6" customHeight="1">
      <c r="A86" s="23">
        <v>85</v>
      </c>
      <c r="B86" s="24" t="s">
        <v>315</v>
      </c>
      <c r="C86" s="24" t="s">
        <v>778</v>
      </c>
      <c r="D86" s="24" t="str">
        <f t="shared" si="7"/>
        <v>keyFunc_pptObjectsArrangeMenu</v>
      </c>
      <c r="E86" s="24" t="str">
        <f t="shared" si="5"/>
        <v>keyFunc_pptObjectsArrangeMenu() {</v>
      </c>
      <c r="F86" s="22" t="s">
        <v>702</v>
      </c>
      <c r="G86" s="24" t="str">
        <f t="shared" si="6"/>
        <v xml:space="preserve">    pptApp.CommandBars.ExecuteMso("ObjectsArrangeMenu")                ;对象排列菜单</v>
      </c>
      <c r="H86" s="24" t="s">
        <v>704</v>
      </c>
    </row>
    <row r="87" spans="1:8" s="27" customFormat="1" ht="21.6" customHeight="1">
      <c r="A87" s="26">
        <v>86</v>
      </c>
      <c r="B87" s="27" t="s">
        <v>316</v>
      </c>
      <c r="C87" s="27" t="s">
        <v>779</v>
      </c>
      <c r="D87" s="27" t="str">
        <f t="shared" si="7"/>
        <v>keyFunc_pptObjectBringToFront</v>
      </c>
      <c r="E87" s="27" t="str">
        <f t="shared" si="5"/>
        <v>keyFunc_pptObjectBringToFront() {</v>
      </c>
      <c r="F87" s="28" t="s">
        <v>702</v>
      </c>
      <c r="G87" s="27" t="str">
        <f t="shared" si="6"/>
        <v xml:space="preserve">    pptApp.CommandBars.ExecuteMso("ObjectBringToFront")                ;将对象置于前面</v>
      </c>
      <c r="H87" s="27" t="s">
        <v>704</v>
      </c>
    </row>
    <row r="88" spans="1:8" s="27" customFormat="1" ht="21.6" customHeight="1">
      <c r="A88" s="26">
        <v>87</v>
      </c>
      <c r="B88" s="27" t="s">
        <v>317</v>
      </c>
      <c r="C88" s="27" t="s">
        <v>780</v>
      </c>
      <c r="D88" s="27" t="str">
        <f t="shared" si="7"/>
        <v>keyFunc_pptObjectSendToBack</v>
      </c>
      <c r="E88" s="27" t="str">
        <f t="shared" si="5"/>
        <v>keyFunc_pptObjectSendToBack() {</v>
      </c>
      <c r="F88" s="28" t="s">
        <v>702</v>
      </c>
      <c r="G88" s="27" t="str">
        <f t="shared" si="6"/>
        <v xml:space="preserve">    pptApp.CommandBars.ExecuteMso("ObjectSendToBack")                ;将对象置于后面</v>
      </c>
      <c r="H88" s="27" t="s">
        <v>704</v>
      </c>
    </row>
    <row r="89" spans="1:8" s="27" customFormat="1" ht="21.6" customHeight="1">
      <c r="A89" s="26">
        <v>88</v>
      </c>
      <c r="B89" s="27" t="s">
        <v>318</v>
      </c>
      <c r="C89" s="27" t="s">
        <v>781</v>
      </c>
      <c r="D89" s="27" t="str">
        <f t="shared" si="7"/>
        <v>keyFunc_pptObjectBringForward</v>
      </c>
      <c r="E89" s="27" t="str">
        <f t="shared" si="5"/>
        <v>keyFunc_pptObjectBringForward() {</v>
      </c>
      <c r="F89" s="28" t="s">
        <v>702</v>
      </c>
      <c r="G89" s="27" t="str">
        <f t="shared" si="6"/>
        <v xml:space="preserve">    pptApp.CommandBars.ExecuteMso("ObjectBringForward")                ;将对象向前移动一层</v>
      </c>
      <c r="H89" s="27" t="s">
        <v>704</v>
      </c>
    </row>
    <row r="90" spans="1:8" s="27" customFormat="1" ht="21.6" customHeight="1">
      <c r="A90" s="26">
        <v>89</v>
      </c>
      <c r="B90" s="27" t="s">
        <v>319</v>
      </c>
      <c r="C90" s="27" t="s">
        <v>782</v>
      </c>
      <c r="D90" s="27" t="str">
        <f t="shared" si="7"/>
        <v>keyFunc_pptObjectSendBackward</v>
      </c>
      <c r="E90" s="27" t="str">
        <f t="shared" si="5"/>
        <v>keyFunc_pptObjectSendBackward() {</v>
      </c>
      <c r="F90" s="28" t="s">
        <v>702</v>
      </c>
      <c r="G90" s="27" t="str">
        <f t="shared" si="6"/>
        <v xml:space="preserve">    pptApp.CommandBars.ExecuteMso("ObjectSendBackward")                ;将对象向后移动一层</v>
      </c>
      <c r="H90" s="27" t="s">
        <v>704</v>
      </c>
    </row>
    <row r="91" spans="1:8" s="27" customFormat="1" ht="21.6" customHeight="1">
      <c r="A91" s="26">
        <v>90</v>
      </c>
      <c r="B91" s="27" t="s">
        <v>320</v>
      </c>
      <c r="C91" s="27" t="s">
        <v>783</v>
      </c>
      <c r="D91" s="27" t="str">
        <f t="shared" si="7"/>
        <v>keyFunc_pptObjectsGroup</v>
      </c>
      <c r="E91" s="27" t="str">
        <f t="shared" si="5"/>
        <v>keyFunc_pptObjectsGroup() {</v>
      </c>
      <c r="F91" s="28" t="s">
        <v>702</v>
      </c>
      <c r="G91" s="27" t="str">
        <f t="shared" si="6"/>
        <v xml:space="preserve">    pptApp.CommandBars.ExecuteMso("ObjectsGroup")                ;对象分组</v>
      </c>
      <c r="H91" s="27" t="s">
        <v>704</v>
      </c>
    </row>
    <row r="92" spans="1:8" ht="21.6" customHeight="1">
      <c r="A92" s="23">
        <v>91</v>
      </c>
      <c r="B92" s="24" t="s">
        <v>321</v>
      </c>
      <c r="C92" s="24" t="s">
        <v>784</v>
      </c>
      <c r="D92" s="24" t="str">
        <f t="shared" si="7"/>
        <v>keyFunc_pptObjectsUngroup</v>
      </c>
      <c r="E92" s="24" t="str">
        <f t="shared" si="5"/>
        <v>keyFunc_pptObjectsUngroup() {</v>
      </c>
      <c r="F92" s="22" t="s">
        <v>702</v>
      </c>
      <c r="G92" s="24" t="str">
        <f t="shared" si="6"/>
        <v xml:space="preserve">    pptApp.CommandBars.ExecuteMso("ObjectsUngroup")                ;对象取消分组</v>
      </c>
      <c r="H92" s="24" t="s">
        <v>704</v>
      </c>
    </row>
    <row r="93" spans="1:8" ht="21.6" customHeight="1">
      <c r="A93" s="23">
        <v>92</v>
      </c>
      <c r="B93" s="24" t="s">
        <v>322</v>
      </c>
      <c r="C93" s="24" t="s">
        <v>785</v>
      </c>
      <c r="D93" s="24" t="str">
        <f t="shared" si="7"/>
        <v>keyFunc_pptObjectsRegroup</v>
      </c>
      <c r="E93" s="24" t="str">
        <f t="shared" si="5"/>
        <v>keyFunc_pptObjectsRegroup() {</v>
      </c>
      <c r="F93" s="22" t="s">
        <v>702</v>
      </c>
      <c r="G93" s="24" t="str">
        <f t="shared" si="6"/>
        <v xml:space="preserve">    pptApp.CommandBars.ExecuteMso("ObjectsRegroup")                ;对象重新分组</v>
      </c>
      <c r="H93" s="24" t="s">
        <v>704</v>
      </c>
    </row>
    <row r="94" spans="1:8" ht="21.6" customHeight="1">
      <c r="A94" s="23">
        <v>93</v>
      </c>
      <c r="B94" s="24" t="s">
        <v>323</v>
      </c>
      <c r="C94" s="24" t="s">
        <v>786</v>
      </c>
      <c r="D94" s="24" t="str">
        <f t="shared" si="7"/>
        <v>keyFunc_pptObjectAlignMenu</v>
      </c>
      <c r="E94" s="24" t="str">
        <f t="shared" si="5"/>
        <v>keyFunc_pptObjectAlignMenu() {</v>
      </c>
      <c r="F94" s="22" t="s">
        <v>702</v>
      </c>
      <c r="G94" s="24" t="str">
        <f t="shared" si="6"/>
        <v xml:space="preserve">    pptApp.CommandBars.ExecuteMso("ObjectAlignMenu")                ;对齐菜单</v>
      </c>
      <c r="H94" s="24" t="s">
        <v>704</v>
      </c>
    </row>
    <row r="95" spans="1:8" ht="21.6" customHeight="1">
      <c r="A95" s="23">
        <v>94</v>
      </c>
      <c r="B95" s="24" t="s">
        <v>2162</v>
      </c>
      <c r="C95" s="24" t="s">
        <v>787</v>
      </c>
      <c r="D95" s="24" t="str">
        <f t="shared" si="7"/>
        <v>keyFunc_pptObjectsAlignLeftSmart</v>
      </c>
      <c r="E95" s="24" t="str">
        <f t="shared" si="5"/>
        <v>keyFunc_pptObjectsAlignLeftSmart() {</v>
      </c>
      <c r="F95" s="22" t="s">
        <v>702</v>
      </c>
      <c r="G95" s="24" t="str">
        <f t="shared" si="6"/>
        <v xml:space="preserve">    pptApp.CommandBars.ExecuteMso("ObjectsAlignLeftSmart")                ;智能对齐-左对齐</v>
      </c>
      <c r="H95" s="24" t="s">
        <v>704</v>
      </c>
    </row>
    <row r="96" spans="1:8" ht="21.6" customHeight="1">
      <c r="A96" s="23">
        <v>95</v>
      </c>
      <c r="B96" s="24" t="s">
        <v>698</v>
      </c>
      <c r="C96" s="24" t="s">
        <v>788</v>
      </c>
      <c r="D96" s="24" t="str">
        <f t="shared" si="7"/>
        <v>keyFunc_pptAlignDistributeHorizontally</v>
      </c>
      <c r="E96" s="24" t="str">
        <f t="shared" si="5"/>
        <v>keyFunc_pptAlignDistributeHorizontally() {</v>
      </c>
      <c r="F96" s="22" t="s">
        <v>702</v>
      </c>
      <c r="G96" s="24" t="str">
        <f t="shared" si="6"/>
        <v xml:space="preserve">    pptApp.CommandBars.ExecuteMso("AlignDistributeHorizontally")                ;在水平方向上分布对齐对象</v>
      </c>
      <c r="H96" s="24" t="s">
        <v>704</v>
      </c>
    </row>
    <row r="97" spans="1:8" ht="21.6" customHeight="1">
      <c r="A97" s="23">
        <v>96</v>
      </c>
      <c r="B97" s="24" t="s">
        <v>699</v>
      </c>
      <c r="C97" s="24" t="s">
        <v>789</v>
      </c>
      <c r="D97" s="24" t="str">
        <f t="shared" si="7"/>
        <v>keyFunc_pptAlignDistributeVertically</v>
      </c>
      <c r="E97" s="24" t="str">
        <f t="shared" si="5"/>
        <v>keyFunc_pptAlignDistributeVertically() {</v>
      </c>
      <c r="F97" s="22" t="s">
        <v>702</v>
      </c>
      <c r="G97" s="24" t="str">
        <f t="shared" si="6"/>
        <v xml:space="preserve">    pptApp.CommandBars.ExecuteMso("AlignDistributeVertically")                ;在垂直方向上分布对齐对象</v>
      </c>
      <c r="H97" s="24" t="s">
        <v>704</v>
      </c>
    </row>
    <row r="98" spans="1:8" ht="21.6" customHeight="1">
      <c r="A98" s="23">
        <v>97</v>
      </c>
      <c r="B98" s="24" t="s">
        <v>324</v>
      </c>
      <c r="C98" s="24" t="s">
        <v>790</v>
      </c>
      <c r="D98" s="24" t="str">
        <f t="shared" si="7"/>
        <v>keyFunc_pptObjectsAlignRelativeToContainerSmart</v>
      </c>
      <c r="E98" s="24" t="str">
        <f t="shared" ref="E98:E129" si="8">"keyFunc_ppt" &amp; B98 &amp; "() {"</f>
        <v>keyFunc_pptObjectsAlignRelativeToContainerSmart() {</v>
      </c>
      <c r="F98" s="22" t="s">
        <v>702</v>
      </c>
      <c r="G98" s="24" t="str">
        <f t="shared" ref="G98:G129" si="9">"    pptApp.CommandBars.ExecuteMso(""" &amp; B98 &amp;""")                ;" &amp; C98</f>
        <v xml:space="preserve">    pptApp.CommandBars.ExecuteMso("ObjectsAlignRelativeToContainerSmart")                ;将对象相对于容器进行智能对齐</v>
      </c>
      <c r="H98" s="24" t="s">
        <v>704</v>
      </c>
    </row>
    <row r="99" spans="1:8" ht="21.6" customHeight="1">
      <c r="A99" s="23">
        <v>98</v>
      </c>
      <c r="B99" s="24" t="s">
        <v>325</v>
      </c>
      <c r="C99" s="24" t="s">
        <v>791</v>
      </c>
      <c r="D99" s="24" t="str">
        <f t="shared" si="7"/>
        <v>keyFunc_pptObjectsAlignSelectedSmart</v>
      </c>
      <c r="E99" s="24" t="str">
        <f t="shared" si="8"/>
        <v>keyFunc_pptObjectsAlignSelectedSmart() {</v>
      </c>
      <c r="F99" s="22" t="s">
        <v>702</v>
      </c>
      <c r="G99" s="24" t="str">
        <f t="shared" si="9"/>
        <v xml:space="preserve">    pptApp.CommandBars.ExecuteMso("ObjectsAlignSelectedSmart")                ;对选定的对象进行智能对齐</v>
      </c>
      <c r="H99" s="24" t="s">
        <v>704</v>
      </c>
    </row>
    <row r="100" spans="1:8" ht="21.6" customHeight="1">
      <c r="A100" s="23">
        <v>99</v>
      </c>
      <c r="B100" s="24" t="s">
        <v>326</v>
      </c>
      <c r="C100" s="24" t="s">
        <v>792</v>
      </c>
      <c r="D100" s="24" t="str">
        <f t="shared" si="7"/>
        <v>keyFunc_pptObjectRotateGallery</v>
      </c>
      <c r="E100" s="24" t="str">
        <f t="shared" si="8"/>
        <v>keyFunc_pptObjectRotateGallery() {</v>
      </c>
      <c r="F100" s="22" t="s">
        <v>702</v>
      </c>
      <c r="G100" s="24" t="str">
        <f t="shared" si="9"/>
        <v xml:space="preserve">    pptApp.CommandBars.ExecuteMso("ObjectRotateGallery")                ;对象旋转图库</v>
      </c>
      <c r="H100" s="24" t="s">
        <v>704</v>
      </c>
    </row>
    <row r="101" spans="1:8" ht="21.6" customHeight="1">
      <c r="A101" s="23">
        <v>100</v>
      </c>
      <c r="B101" s="24" t="s">
        <v>328</v>
      </c>
      <c r="C101" s="24" t="s">
        <v>793</v>
      </c>
      <c r="D101" s="24" t="str">
        <f t="shared" si="7"/>
        <v>keyFunc_pptObjectRotationOptionsDialog</v>
      </c>
      <c r="E101" s="24" t="str">
        <f t="shared" si="8"/>
        <v>keyFunc_pptObjectRotationOptionsDialog() {</v>
      </c>
      <c r="F101" s="22" t="s">
        <v>702</v>
      </c>
      <c r="G101" s="24" t="str">
        <f t="shared" si="9"/>
        <v xml:space="preserve">    pptApp.CommandBars.ExecuteMso("ObjectRotationOptionsDialog")                ;对象旋转选项对话框</v>
      </c>
      <c r="H101" s="24" t="s">
        <v>704</v>
      </c>
    </row>
    <row r="102" spans="1:8" ht="21.6" customHeight="1">
      <c r="A102" s="23">
        <v>101</v>
      </c>
      <c r="B102" s="24" t="s">
        <v>330</v>
      </c>
      <c r="C102" s="24" t="s">
        <v>794</v>
      </c>
      <c r="D102" s="24" t="str">
        <f t="shared" si="7"/>
        <v>keyFunc_pptSelectionPane</v>
      </c>
      <c r="E102" s="24" t="str">
        <f t="shared" si="8"/>
        <v>keyFunc_pptSelectionPane() {</v>
      </c>
      <c r="F102" s="22" t="s">
        <v>702</v>
      </c>
      <c r="G102" s="24" t="str">
        <f t="shared" si="9"/>
        <v xml:space="preserve">    pptApp.CommandBars.ExecuteMso("SelectionPane")                ;选择窗格</v>
      </c>
      <c r="H102" s="24" t="s">
        <v>704</v>
      </c>
    </row>
    <row r="103" spans="1:8" ht="21.6" customHeight="1">
      <c r="A103" s="23">
        <v>102</v>
      </c>
      <c r="B103" s="24" t="s">
        <v>332</v>
      </c>
      <c r="C103" s="24" t="s">
        <v>795</v>
      </c>
      <c r="D103" s="24" t="str">
        <f t="shared" si="7"/>
        <v>keyFunc_pptShapeQuickStylesHome</v>
      </c>
      <c r="E103" s="24" t="str">
        <f t="shared" si="8"/>
        <v>keyFunc_pptShapeQuickStylesHome() {</v>
      </c>
      <c r="F103" s="22" t="s">
        <v>702</v>
      </c>
      <c r="G103" s="24" t="str">
        <f t="shared" si="9"/>
        <v xml:space="preserve">    pptApp.CommandBars.ExecuteMso("ShapeQuickStylesHome")                ;形状快速样式主页</v>
      </c>
      <c r="H103" s="24" t="s">
        <v>704</v>
      </c>
    </row>
    <row r="104" spans="1:8" ht="21.6" customHeight="1">
      <c r="A104" s="23">
        <v>103</v>
      </c>
      <c r="B104" s="24" t="s">
        <v>333</v>
      </c>
      <c r="C104" s="24" t="s">
        <v>796</v>
      </c>
      <c r="D104" s="24" t="str">
        <f t="shared" si="7"/>
        <v>keyFunc_pptShapeStylesOtherThemeFillsGallery</v>
      </c>
      <c r="E104" s="24" t="str">
        <f t="shared" si="8"/>
        <v>keyFunc_pptShapeStylesOtherThemeFillsGallery() {</v>
      </c>
      <c r="F104" s="22" t="s">
        <v>702</v>
      </c>
      <c r="G104" s="24" t="str">
        <f t="shared" si="9"/>
        <v xml:space="preserve">    pptApp.CommandBars.ExecuteMso("ShapeStylesOtherThemeFillsGallery")                ;形状样式其他主题填充图库</v>
      </c>
      <c r="H104" s="24" t="s">
        <v>704</v>
      </c>
    </row>
    <row r="105" spans="1:8" ht="21.6" customHeight="1">
      <c r="A105" s="23">
        <v>104</v>
      </c>
      <c r="B105" s="24" t="s">
        <v>334</v>
      </c>
      <c r="C105" s="24" t="s">
        <v>797</v>
      </c>
      <c r="D105" s="24" t="str">
        <f t="shared" si="7"/>
        <v>keyFunc_pptShapeFillColorPicker</v>
      </c>
      <c r="E105" s="24" t="str">
        <f t="shared" si="8"/>
        <v>keyFunc_pptShapeFillColorPicker() {</v>
      </c>
      <c r="F105" s="22" t="s">
        <v>702</v>
      </c>
      <c r="G105" s="24" t="str">
        <f t="shared" si="9"/>
        <v xml:space="preserve">    pptApp.CommandBars.ExecuteMso("ShapeFillColorPicker")                ;形状填充颜色选择器</v>
      </c>
      <c r="H105" s="24" t="s">
        <v>704</v>
      </c>
    </row>
    <row r="106" spans="1:8" ht="21.6" customHeight="1">
      <c r="A106" s="23">
        <v>105</v>
      </c>
      <c r="B106" s="24" t="s">
        <v>336</v>
      </c>
      <c r="C106" s="24" t="s">
        <v>798</v>
      </c>
      <c r="D106" s="24" t="str">
        <f t="shared" si="7"/>
        <v>keyFunc_pptObjectFillMoreColorsDialog</v>
      </c>
      <c r="E106" s="24" t="str">
        <f t="shared" si="8"/>
        <v>keyFunc_pptObjectFillMoreColorsDialog() {</v>
      </c>
      <c r="F106" s="22" t="s">
        <v>702</v>
      </c>
      <c r="G106" s="24" t="str">
        <f t="shared" si="9"/>
        <v xml:space="preserve">    pptApp.CommandBars.ExecuteMso("ObjectFillMoreColorsDialog")                ;对象填充更多颜色对话框</v>
      </c>
      <c r="H106" s="24" t="s">
        <v>704</v>
      </c>
    </row>
    <row r="107" spans="1:8" ht="21.6" customHeight="1">
      <c r="A107" s="23">
        <v>106</v>
      </c>
      <c r="B107" s="24" t="s">
        <v>337</v>
      </c>
      <c r="C107" s="24" t="s">
        <v>799</v>
      </c>
      <c r="D107" s="24" t="str">
        <f t="shared" si="7"/>
        <v>keyFunc_pptEyedropperFill</v>
      </c>
      <c r="E107" s="24" t="str">
        <f t="shared" si="8"/>
        <v>keyFunc_pptEyedropperFill() {</v>
      </c>
      <c r="F107" s="22" t="s">
        <v>702</v>
      </c>
      <c r="G107" s="24" t="str">
        <f t="shared" si="9"/>
        <v xml:space="preserve">    pptApp.CommandBars.ExecuteMso("EyedropperFill")                ;吸取填充颜色</v>
      </c>
      <c r="H107" s="24" t="s">
        <v>704</v>
      </c>
    </row>
    <row r="108" spans="1:8" ht="21.6" customHeight="1">
      <c r="A108" s="23">
        <v>107</v>
      </c>
      <c r="B108" s="24" t="s">
        <v>338</v>
      </c>
      <c r="C108" s="24" t="s">
        <v>800</v>
      </c>
      <c r="D108" s="24" t="str">
        <f t="shared" si="7"/>
        <v>keyFunc_pptObjectPictureFill</v>
      </c>
      <c r="E108" s="24" t="str">
        <f t="shared" si="8"/>
        <v>keyFunc_pptObjectPictureFill() {</v>
      </c>
      <c r="F108" s="22" t="s">
        <v>702</v>
      </c>
      <c r="G108" s="24" t="str">
        <f t="shared" si="9"/>
        <v xml:space="preserve">    pptApp.CommandBars.ExecuteMso("ObjectPictureFill")                ;对象图片填充</v>
      </c>
      <c r="H108" s="24" t="s">
        <v>704</v>
      </c>
    </row>
    <row r="109" spans="1:8" ht="21.6" customHeight="1">
      <c r="A109" s="23">
        <v>108</v>
      </c>
      <c r="B109" s="24" t="s">
        <v>340</v>
      </c>
      <c r="C109" s="24" t="s">
        <v>801</v>
      </c>
      <c r="D109" s="24" t="str">
        <f t="shared" si="7"/>
        <v>keyFunc_pptGradientGallery</v>
      </c>
      <c r="E109" s="24" t="str">
        <f t="shared" si="8"/>
        <v>keyFunc_pptGradientGallery() {</v>
      </c>
      <c r="F109" s="22" t="s">
        <v>702</v>
      </c>
      <c r="G109" s="24" t="str">
        <f t="shared" si="9"/>
        <v xml:space="preserve">    pptApp.CommandBars.ExecuteMso("GradientGallery")                ;渐变图库</v>
      </c>
      <c r="H109" s="24" t="s">
        <v>704</v>
      </c>
    </row>
    <row r="110" spans="1:8" ht="21.6" customHeight="1">
      <c r="A110" s="23">
        <v>109</v>
      </c>
      <c r="B110" s="24" t="s">
        <v>342</v>
      </c>
      <c r="C110" s="24" t="s">
        <v>802</v>
      </c>
      <c r="D110" s="24" t="str">
        <f t="shared" si="7"/>
        <v>keyFunc_pptShapeFillMoreGradientsDialog</v>
      </c>
      <c r="E110" s="24" t="str">
        <f t="shared" si="8"/>
        <v>keyFunc_pptShapeFillMoreGradientsDialog() {</v>
      </c>
      <c r="F110" s="22" t="s">
        <v>702</v>
      </c>
      <c r="G110" s="24" t="str">
        <f t="shared" si="9"/>
        <v xml:space="preserve">    pptApp.CommandBars.ExecuteMso("ShapeFillMoreGradientsDialog")                ;形状填充更多渐变对话框</v>
      </c>
      <c r="H110" s="24" t="s">
        <v>704</v>
      </c>
    </row>
    <row r="111" spans="1:8" ht="21.6" customHeight="1">
      <c r="A111" s="23">
        <v>110</v>
      </c>
      <c r="B111" s="24" t="s">
        <v>343</v>
      </c>
      <c r="C111" s="24" t="s">
        <v>803</v>
      </c>
      <c r="D111" s="24" t="str">
        <f t="shared" si="7"/>
        <v>keyFunc_pptShapeFillTextureGallery</v>
      </c>
      <c r="E111" s="24" t="str">
        <f t="shared" si="8"/>
        <v>keyFunc_pptShapeFillTextureGallery() {</v>
      </c>
      <c r="F111" s="22" t="s">
        <v>702</v>
      </c>
      <c r="G111" s="24" t="str">
        <f t="shared" si="9"/>
        <v xml:space="preserve">    pptApp.CommandBars.ExecuteMso("ShapeFillTextureGallery")                ;形状填充纹理图库</v>
      </c>
      <c r="H111" s="24" t="s">
        <v>704</v>
      </c>
    </row>
    <row r="112" spans="1:8" ht="21.6" customHeight="1">
      <c r="A112" s="23">
        <v>111</v>
      </c>
      <c r="B112" s="24" t="s">
        <v>344</v>
      </c>
      <c r="C112" s="24" t="s">
        <v>804</v>
      </c>
      <c r="D112" s="24" t="str">
        <f t="shared" si="7"/>
        <v>keyFunc_pptMoreTextureOptions</v>
      </c>
      <c r="E112" s="24" t="str">
        <f t="shared" si="8"/>
        <v>keyFunc_pptMoreTextureOptions() {</v>
      </c>
      <c r="F112" s="22" t="s">
        <v>702</v>
      </c>
      <c r="G112" s="24" t="str">
        <f t="shared" si="9"/>
        <v xml:space="preserve">    pptApp.CommandBars.ExecuteMso("MoreTextureOptions")                ;更多纹理选项</v>
      </c>
      <c r="H112" s="24" t="s">
        <v>704</v>
      </c>
    </row>
    <row r="113" spans="1:8" ht="21.6" customHeight="1">
      <c r="A113" s="23">
        <v>112</v>
      </c>
      <c r="B113" s="24" t="s">
        <v>346</v>
      </c>
      <c r="C113" s="24" t="s">
        <v>805</v>
      </c>
      <c r="D113" s="24" t="str">
        <f t="shared" si="7"/>
        <v>keyFunc_pptShapeOutlineColorPicker</v>
      </c>
      <c r="E113" s="24" t="str">
        <f t="shared" si="8"/>
        <v>keyFunc_pptShapeOutlineColorPicker() {</v>
      </c>
      <c r="F113" s="22" t="s">
        <v>702</v>
      </c>
      <c r="G113" s="24" t="str">
        <f t="shared" si="9"/>
        <v xml:space="preserve">    pptApp.CommandBars.ExecuteMso("ShapeOutlineColorPicker")                ;形状轮廓颜色选择器</v>
      </c>
      <c r="H113" s="24" t="s">
        <v>704</v>
      </c>
    </row>
    <row r="114" spans="1:8" ht="21.6" customHeight="1">
      <c r="A114" s="23">
        <v>113</v>
      </c>
      <c r="B114" s="24" t="s">
        <v>348</v>
      </c>
      <c r="C114" s="24" t="s">
        <v>806</v>
      </c>
      <c r="D114" s="24" t="str">
        <f t="shared" si="7"/>
        <v>keyFunc_pptObjectBorderOutlineColorMoreColorsDialog</v>
      </c>
      <c r="E114" s="24" t="str">
        <f t="shared" si="8"/>
        <v>keyFunc_pptObjectBorderOutlineColorMoreColorsDialog() {</v>
      </c>
      <c r="F114" s="22" t="s">
        <v>702</v>
      </c>
      <c r="G114" s="24" t="str">
        <f t="shared" si="9"/>
        <v xml:space="preserve">    pptApp.CommandBars.ExecuteMso("ObjectBorderOutlineColorMoreColorsDialog")                ;对象边框/轮廓颜色更多颜色对话框</v>
      </c>
      <c r="H114" s="24" t="s">
        <v>704</v>
      </c>
    </row>
    <row r="115" spans="1:8" ht="21.6" customHeight="1">
      <c r="A115" s="23">
        <v>114</v>
      </c>
      <c r="B115" s="24" t="s">
        <v>349</v>
      </c>
      <c r="C115" s="24" t="s">
        <v>807</v>
      </c>
      <c r="D115" s="24" t="str">
        <f t="shared" si="7"/>
        <v>keyFunc_pptEyedropperOutline</v>
      </c>
      <c r="E115" s="24" t="str">
        <f t="shared" si="8"/>
        <v>keyFunc_pptEyedropperOutline() {</v>
      </c>
      <c r="F115" s="22" t="s">
        <v>702</v>
      </c>
      <c r="G115" s="24" t="str">
        <f t="shared" si="9"/>
        <v xml:space="preserve">    pptApp.CommandBars.ExecuteMso("EyedropperOutline")                ;吸取边框/轮廓颜色</v>
      </c>
      <c r="H115" s="24" t="s">
        <v>704</v>
      </c>
    </row>
    <row r="116" spans="1:8" ht="21.6" customHeight="1">
      <c r="A116" s="23">
        <v>115</v>
      </c>
      <c r="B116" s="24" t="s">
        <v>350</v>
      </c>
      <c r="C116" s="24" t="s">
        <v>808</v>
      </c>
      <c r="D116" s="24" t="str">
        <f t="shared" si="7"/>
        <v>keyFunc_pptOutlineWeightGallery</v>
      </c>
      <c r="E116" s="24" t="str">
        <f t="shared" si="8"/>
        <v>keyFunc_pptOutlineWeightGallery() {</v>
      </c>
      <c r="F116" s="22" t="s">
        <v>702</v>
      </c>
      <c r="G116" s="24" t="str">
        <f t="shared" si="9"/>
        <v xml:space="preserve">    pptApp.CommandBars.ExecuteMso("OutlineWeightGallery")                ;轮廓粗细图库</v>
      </c>
      <c r="H116" s="24" t="s">
        <v>704</v>
      </c>
    </row>
    <row r="117" spans="1:8" ht="21.6" customHeight="1">
      <c r="A117" s="23">
        <v>116</v>
      </c>
      <c r="B117" s="24" t="s">
        <v>351</v>
      </c>
      <c r="C117" s="24" t="s">
        <v>809</v>
      </c>
      <c r="D117" s="24" t="str">
        <f t="shared" si="7"/>
        <v>keyFunc_pptLineStylesDialog</v>
      </c>
      <c r="E117" s="24" t="str">
        <f t="shared" si="8"/>
        <v>keyFunc_pptLineStylesDialog() {</v>
      </c>
      <c r="F117" s="22" t="s">
        <v>702</v>
      </c>
      <c r="G117" s="24" t="str">
        <f t="shared" si="9"/>
        <v xml:space="preserve">    pptApp.CommandBars.ExecuteMso("LineStylesDialog")                ;线条样式对话框</v>
      </c>
      <c r="H117" s="24" t="s">
        <v>704</v>
      </c>
    </row>
    <row r="118" spans="1:8" ht="21.6" customHeight="1">
      <c r="A118" s="23">
        <v>117</v>
      </c>
      <c r="B118" s="24" t="s">
        <v>353</v>
      </c>
      <c r="C118" s="24" t="s">
        <v>810</v>
      </c>
      <c r="D118" s="24" t="str">
        <f t="shared" si="7"/>
        <v>keyFunc_pptOutlineDashesGallery</v>
      </c>
      <c r="E118" s="24" t="str">
        <f t="shared" si="8"/>
        <v>keyFunc_pptOutlineDashesGallery() {</v>
      </c>
      <c r="F118" s="22" t="s">
        <v>702</v>
      </c>
      <c r="G118" s="24" t="str">
        <f t="shared" si="9"/>
        <v xml:space="preserve">    pptApp.CommandBars.ExecuteMso("OutlineDashesGallery")                ;轮廓虚线图库</v>
      </c>
      <c r="H118" s="24" t="s">
        <v>704</v>
      </c>
    </row>
    <row r="119" spans="1:8" ht="21.6" customHeight="1">
      <c r="A119" s="23">
        <v>118</v>
      </c>
      <c r="B119" s="24" t="s">
        <v>354</v>
      </c>
      <c r="C119" s="24" t="s">
        <v>811</v>
      </c>
      <c r="D119" s="24" t="str">
        <f t="shared" si="7"/>
        <v>keyFunc_pptArrowStyleGallery</v>
      </c>
      <c r="E119" s="24" t="str">
        <f t="shared" si="8"/>
        <v>keyFunc_pptArrowStyleGallery() {</v>
      </c>
      <c r="F119" s="22" t="s">
        <v>702</v>
      </c>
      <c r="G119" s="24" t="str">
        <f t="shared" si="9"/>
        <v xml:space="preserve">    pptApp.CommandBars.ExecuteMso("ArrowStyleGallery")                ;箭头样式图库</v>
      </c>
      <c r="H119" s="24" t="s">
        <v>704</v>
      </c>
    </row>
    <row r="120" spans="1:8" ht="21.6" customHeight="1">
      <c r="A120" s="23">
        <v>119</v>
      </c>
      <c r="B120" s="24" t="s">
        <v>356</v>
      </c>
      <c r="C120" s="24" t="s">
        <v>812</v>
      </c>
      <c r="D120" s="24" t="str">
        <f t="shared" si="7"/>
        <v>keyFunc_pptArrowsMore</v>
      </c>
      <c r="E120" s="24" t="str">
        <f t="shared" si="8"/>
        <v>keyFunc_pptArrowsMore() {</v>
      </c>
      <c r="F120" s="22" t="s">
        <v>702</v>
      </c>
      <c r="G120" s="24" t="str">
        <f t="shared" si="9"/>
        <v xml:space="preserve">    pptApp.CommandBars.ExecuteMso("ArrowsMore")                ;更多箭头选项</v>
      </c>
      <c r="H120" s="24" t="s">
        <v>704</v>
      </c>
    </row>
    <row r="121" spans="1:8" ht="21.6" customHeight="1">
      <c r="A121" s="23">
        <v>120</v>
      </c>
      <c r="B121" s="24" t="s">
        <v>358</v>
      </c>
      <c r="C121" s="24" t="s">
        <v>813</v>
      </c>
      <c r="D121" s="24" t="str">
        <f t="shared" si="7"/>
        <v>keyFunc_pptShapeEffectsMenu</v>
      </c>
      <c r="E121" s="24" t="str">
        <f t="shared" si="8"/>
        <v>keyFunc_pptShapeEffectsMenu() {</v>
      </c>
      <c r="F121" s="22" t="s">
        <v>702</v>
      </c>
      <c r="G121" s="24" t="str">
        <f t="shared" si="9"/>
        <v xml:space="preserve">    pptApp.CommandBars.ExecuteMso("ShapeEffectsMenu")                ;形状效果菜单</v>
      </c>
      <c r="H121" s="24" t="s">
        <v>704</v>
      </c>
    </row>
    <row r="122" spans="1:8" ht="21.6" customHeight="1">
      <c r="A122" s="23">
        <v>121</v>
      </c>
      <c r="B122" s="24" t="s">
        <v>360</v>
      </c>
      <c r="C122" s="24" t="s">
        <v>814</v>
      </c>
      <c r="D122" s="24" t="str">
        <f t="shared" si="7"/>
        <v>keyFunc_pptObjectEffectPresetGallery</v>
      </c>
      <c r="E122" s="24" t="str">
        <f t="shared" si="8"/>
        <v>keyFunc_pptObjectEffectPresetGallery() {</v>
      </c>
      <c r="F122" s="22" t="s">
        <v>702</v>
      </c>
      <c r="G122" s="24" t="str">
        <f t="shared" si="9"/>
        <v xml:space="preserve">    pptApp.CommandBars.ExecuteMso("ObjectEffectPresetGallery")                ;对象效果预设图库</v>
      </c>
      <c r="H122" s="24" t="s">
        <v>704</v>
      </c>
    </row>
    <row r="123" spans="1:8" ht="21.6" customHeight="1">
      <c r="A123" s="23">
        <v>122</v>
      </c>
      <c r="B123" s="24" t="s">
        <v>361</v>
      </c>
      <c r="C123" s="24" t="s">
        <v>815</v>
      </c>
      <c r="D123" s="24" t="str">
        <f t="shared" si="7"/>
        <v>keyFunc_ppt_3DBevelOptionsDialog</v>
      </c>
      <c r="E123" s="24" t="str">
        <f t="shared" si="8"/>
        <v>keyFunc_ppt_3DBevelOptionsDialog() {</v>
      </c>
      <c r="F123" s="22" t="s">
        <v>702</v>
      </c>
      <c r="G123" s="24" t="str">
        <f t="shared" si="9"/>
        <v xml:space="preserve">    pptApp.CommandBars.ExecuteMso("_3DBevelOptionsDialog")                ;3D倒角选项对话框</v>
      </c>
      <c r="H123" s="24" t="s">
        <v>704</v>
      </c>
    </row>
    <row r="124" spans="1:8" ht="21.6" customHeight="1">
      <c r="A124" s="23">
        <v>123</v>
      </c>
      <c r="B124" s="24" t="s">
        <v>362</v>
      </c>
      <c r="C124" s="24" t="s">
        <v>816</v>
      </c>
      <c r="D124" s="24" t="str">
        <f t="shared" si="7"/>
        <v>keyFunc_pptObjectEffectShadowGallery</v>
      </c>
      <c r="E124" s="24" t="str">
        <f t="shared" si="8"/>
        <v>keyFunc_pptObjectEffectShadowGallery() {</v>
      </c>
      <c r="F124" s="22" t="s">
        <v>702</v>
      </c>
      <c r="G124" s="24" t="str">
        <f t="shared" si="9"/>
        <v xml:space="preserve">    pptApp.CommandBars.ExecuteMso("ObjectEffectShadowGallery")                ;对象阴影效果图库</v>
      </c>
      <c r="H124" s="24" t="s">
        <v>704</v>
      </c>
    </row>
    <row r="125" spans="1:8" ht="21.6" customHeight="1">
      <c r="A125" s="23">
        <v>124</v>
      </c>
      <c r="B125" s="24" t="s">
        <v>363</v>
      </c>
      <c r="C125" s="24" t="s">
        <v>817</v>
      </c>
      <c r="D125" s="24" t="str">
        <f t="shared" si="7"/>
        <v>keyFunc_pptShadowOptionsDialog</v>
      </c>
      <c r="E125" s="24" t="str">
        <f t="shared" si="8"/>
        <v>keyFunc_pptShadowOptionsDialog() {</v>
      </c>
      <c r="F125" s="22" t="s">
        <v>702</v>
      </c>
      <c r="G125" s="24" t="str">
        <f t="shared" si="9"/>
        <v xml:space="preserve">    pptApp.CommandBars.ExecuteMso("ShadowOptionsDialog")                ;阴影选项对话框</v>
      </c>
      <c r="H125" s="24" t="s">
        <v>704</v>
      </c>
    </row>
    <row r="126" spans="1:8" ht="21.6" customHeight="1">
      <c r="A126" s="23">
        <v>125</v>
      </c>
      <c r="B126" s="24" t="s">
        <v>365</v>
      </c>
      <c r="C126" s="24" t="s">
        <v>818</v>
      </c>
      <c r="D126" s="24" t="str">
        <f t="shared" si="7"/>
        <v>keyFunc_pptReflectionGallery</v>
      </c>
      <c r="E126" s="24" t="str">
        <f t="shared" si="8"/>
        <v>keyFunc_pptReflectionGallery() {</v>
      </c>
      <c r="F126" s="22" t="s">
        <v>702</v>
      </c>
      <c r="G126" s="24" t="str">
        <f t="shared" si="9"/>
        <v xml:space="preserve">    pptApp.CommandBars.ExecuteMso("ReflectionGallery")                ;倒影图库</v>
      </c>
      <c r="H126" s="24" t="s">
        <v>704</v>
      </c>
    </row>
    <row r="127" spans="1:8" ht="21.6" customHeight="1">
      <c r="A127" s="23">
        <v>126</v>
      </c>
      <c r="B127" s="24" t="s">
        <v>367</v>
      </c>
      <c r="C127" s="24" t="s">
        <v>819</v>
      </c>
      <c r="D127" s="24" t="str">
        <f t="shared" si="7"/>
        <v>keyFunc_pptReflectionsMoreOptions</v>
      </c>
      <c r="E127" s="24" t="str">
        <f t="shared" si="8"/>
        <v>keyFunc_pptReflectionsMoreOptions() {</v>
      </c>
      <c r="F127" s="22" t="s">
        <v>702</v>
      </c>
      <c r="G127" s="24" t="str">
        <f t="shared" si="9"/>
        <v xml:space="preserve">    pptApp.CommandBars.ExecuteMso("ReflectionsMoreOptions")                ;更多倒影选项</v>
      </c>
      <c r="H127" s="24" t="s">
        <v>704</v>
      </c>
    </row>
    <row r="128" spans="1:8" ht="21.6" customHeight="1">
      <c r="A128" s="23">
        <v>127</v>
      </c>
      <c r="B128" s="24" t="s">
        <v>369</v>
      </c>
      <c r="C128" s="24" t="s">
        <v>820</v>
      </c>
      <c r="D128" s="24" t="str">
        <f t="shared" si="7"/>
        <v>keyFunc_pptObjectEffectGlowGallery</v>
      </c>
      <c r="E128" s="24" t="str">
        <f t="shared" si="8"/>
        <v>keyFunc_pptObjectEffectGlowGallery() {</v>
      </c>
      <c r="F128" s="22" t="s">
        <v>702</v>
      </c>
      <c r="G128" s="24" t="str">
        <f t="shared" si="9"/>
        <v xml:space="preserve">    pptApp.CommandBars.ExecuteMso("ObjectEffectGlowGallery")                ;对象发光效果图库</v>
      </c>
      <c r="H128" s="24" t="s">
        <v>704</v>
      </c>
    </row>
    <row r="129" spans="1:8" ht="21.6" customHeight="1">
      <c r="A129" s="23">
        <v>128</v>
      </c>
      <c r="B129" s="24" t="s">
        <v>370</v>
      </c>
      <c r="C129" s="24" t="s">
        <v>821</v>
      </c>
      <c r="D129" s="24" t="str">
        <f t="shared" si="7"/>
        <v>keyFunc_pptGlowColorPicker</v>
      </c>
      <c r="E129" s="24" t="str">
        <f t="shared" si="8"/>
        <v>keyFunc_pptGlowColorPicker() {</v>
      </c>
      <c r="F129" s="22" t="s">
        <v>702</v>
      </c>
      <c r="G129" s="24" t="str">
        <f t="shared" si="9"/>
        <v xml:space="preserve">    pptApp.CommandBars.ExecuteMso("GlowColorPicker")                ;发光颜色选择器</v>
      </c>
      <c r="H129" s="24" t="s">
        <v>704</v>
      </c>
    </row>
    <row r="130" spans="1:8" ht="21.6" customHeight="1">
      <c r="A130" s="23">
        <v>129</v>
      </c>
      <c r="B130" s="24" t="s">
        <v>372</v>
      </c>
      <c r="C130" s="24" t="s">
        <v>822</v>
      </c>
      <c r="D130" s="24" t="str">
        <f t="shared" si="7"/>
        <v>keyFunc_pptGlowColorMoreColorsDialog</v>
      </c>
      <c r="E130" s="24" t="str">
        <f t="shared" ref="E130:E161" si="10">"keyFunc_ppt" &amp; B130 &amp; "() {"</f>
        <v>keyFunc_pptGlowColorMoreColorsDialog() {</v>
      </c>
      <c r="F130" s="22" t="s">
        <v>702</v>
      </c>
      <c r="G130" s="24" t="str">
        <f t="shared" ref="G130:G161" si="11">"    pptApp.CommandBars.ExecuteMso(""" &amp; B130 &amp;""")                ;" &amp; C130</f>
        <v xml:space="preserve">    pptApp.CommandBars.ExecuteMso("GlowColorMoreColorsDialog")                ;发光颜色更多颜色对话框</v>
      </c>
      <c r="H130" s="24" t="s">
        <v>704</v>
      </c>
    </row>
    <row r="131" spans="1:8" ht="21.6" customHeight="1">
      <c r="A131" s="23">
        <v>130</v>
      </c>
      <c r="B131" s="24" t="s">
        <v>373</v>
      </c>
      <c r="C131" s="24" t="s">
        <v>823</v>
      </c>
      <c r="D131" s="24" t="str">
        <f t="shared" ref="D131:D194" si="12">"keyFunc_ppt" &amp; B131</f>
        <v>keyFunc_pptEyedropperGlow</v>
      </c>
      <c r="E131" s="24" t="str">
        <f t="shared" si="10"/>
        <v>keyFunc_pptEyedropperGlow() {</v>
      </c>
      <c r="F131" s="22" t="s">
        <v>702</v>
      </c>
      <c r="G131" s="24" t="str">
        <f t="shared" si="11"/>
        <v xml:space="preserve">    pptApp.CommandBars.ExecuteMso("EyedropperGlow")                ;吸取发光颜色</v>
      </c>
      <c r="H131" s="24" t="s">
        <v>704</v>
      </c>
    </row>
    <row r="132" spans="1:8" ht="21.6" customHeight="1">
      <c r="A132" s="23">
        <v>131</v>
      </c>
      <c r="B132" s="24" t="s">
        <v>374</v>
      </c>
      <c r="C132" s="24" t="s">
        <v>824</v>
      </c>
      <c r="D132" s="24" t="str">
        <f t="shared" si="12"/>
        <v>keyFunc_pptGlowsMoreOptions</v>
      </c>
      <c r="E132" s="24" t="str">
        <f t="shared" si="10"/>
        <v>keyFunc_pptGlowsMoreOptions() {</v>
      </c>
      <c r="F132" s="22" t="s">
        <v>702</v>
      </c>
      <c r="G132" s="24" t="str">
        <f t="shared" si="11"/>
        <v xml:space="preserve">    pptApp.CommandBars.ExecuteMso("GlowsMoreOptions")                ;更多发光选项</v>
      </c>
      <c r="H132" s="24" t="s">
        <v>704</v>
      </c>
    </row>
    <row r="133" spans="1:8" ht="21.6" customHeight="1">
      <c r="A133" s="23">
        <v>132</v>
      </c>
      <c r="B133" s="24" t="s">
        <v>376</v>
      </c>
      <c r="C133" s="24" t="s">
        <v>825</v>
      </c>
      <c r="D133" s="24" t="str">
        <f t="shared" si="12"/>
        <v>keyFunc_pptObjectEffectSoftEdgesGallery</v>
      </c>
      <c r="E133" s="24" t="str">
        <f t="shared" si="10"/>
        <v>keyFunc_pptObjectEffectSoftEdgesGallery() {</v>
      </c>
      <c r="F133" s="22" t="s">
        <v>702</v>
      </c>
      <c r="G133" s="24" t="str">
        <f t="shared" si="11"/>
        <v xml:space="preserve">    pptApp.CommandBars.ExecuteMso("ObjectEffectSoftEdgesGallery")                ;对象柔化边缘效果图库</v>
      </c>
      <c r="H133" s="24" t="s">
        <v>704</v>
      </c>
    </row>
    <row r="134" spans="1:8" ht="21.6" customHeight="1">
      <c r="A134" s="23">
        <v>133</v>
      </c>
      <c r="B134" s="24" t="s">
        <v>377</v>
      </c>
      <c r="C134" s="24" t="s">
        <v>826</v>
      </c>
      <c r="D134" s="24" t="str">
        <f t="shared" si="12"/>
        <v>keyFunc_pptSoftEdgesMoreOptions</v>
      </c>
      <c r="E134" s="24" t="str">
        <f t="shared" si="10"/>
        <v>keyFunc_pptSoftEdgesMoreOptions() {</v>
      </c>
      <c r="F134" s="22" t="s">
        <v>702</v>
      </c>
      <c r="G134" s="24" t="str">
        <f t="shared" si="11"/>
        <v xml:space="preserve">    pptApp.CommandBars.ExecuteMso("SoftEdgesMoreOptions")                ;更多柔化边缘选项</v>
      </c>
      <c r="H134" s="24" t="s">
        <v>704</v>
      </c>
    </row>
    <row r="135" spans="1:8" ht="21.6" customHeight="1">
      <c r="A135" s="23">
        <v>134</v>
      </c>
      <c r="B135" s="24" t="s">
        <v>379</v>
      </c>
      <c r="C135" s="24" t="s">
        <v>827</v>
      </c>
      <c r="D135" s="24" t="str">
        <f t="shared" si="12"/>
        <v>keyFunc_pptBevelShapeGallery</v>
      </c>
      <c r="E135" s="24" t="str">
        <f t="shared" si="10"/>
        <v>keyFunc_pptBevelShapeGallery() {</v>
      </c>
      <c r="F135" s="22" t="s">
        <v>702</v>
      </c>
      <c r="G135" s="24" t="str">
        <f t="shared" si="11"/>
        <v xml:space="preserve">    pptApp.CommandBars.ExecuteMso("BevelShapeGallery")                ;倒角形状图库</v>
      </c>
      <c r="H135" s="24" t="s">
        <v>704</v>
      </c>
    </row>
    <row r="136" spans="1:8" ht="21.6" customHeight="1">
      <c r="A136" s="23">
        <v>135</v>
      </c>
      <c r="B136" s="25" t="s">
        <v>361</v>
      </c>
      <c r="C136" s="24" t="s">
        <v>828</v>
      </c>
      <c r="D136" s="24" t="str">
        <f t="shared" si="12"/>
        <v>keyFunc_ppt_3DBevelOptionsDialog</v>
      </c>
      <c r="E136" s="24" t="str">
        <f t="shared" si="10"/>
        <v>keyFunc_ppt_3DBevelOptionsDialog() {</v>
      </c>
      <c r="F136" s="22" t="s">
        <v>702</v>
      </c>
      <c r="G136" s="24" t="str">
        <f t="shared" si="11"/>
        <v xml:space="preserve">    pptApp.CommandBars.ExecuteMso("_3DBevelOptionsDialog")                ;3D旋转行为对话框</v>
      </c>
      <c r="H136" s="24" t="s">
        <v>704</v>
      </c>
    </row>
    <row r="137" spans="1:8" ht="21.6" customHeight="1">
      <c r="A137" s="23">
        <v>136</v>
      </c>
      <c r="B137" s="24" t="s">
        <v>380</v>
      </c>
      <c r="C137" s="24" t="s">
        <v>829</v>
      </c>
      <c r="D137" s="24" t="str">
        <f t="shared" si="12"/>
        <v>keyFunc_ppt_3DRotationGallery</v>
      </c>
      <c r="E137" s="24" t="str">
        <f t="shared" si="10"/>
        <v>keyFunc_ppt_3DRotationGallery() {</v>
      </c>
      <c r="F137" s="22" t="s">
        <v>702</v>
      </c>
      <c r="G137" s="24" t="str">
        <f t="shared" si="11"/>
        <v xml:space="preserve">    pptApp.CommandBars.ExecuteMso("_3DRotationGallery")                ;3D旋转图库</v>
      </c>
      <c r="H137" s="24" t="s">
        <v>704</v>
      </c>
    </row>
    <row r="138" spans="1:8" ht="21.6" customHeight="1">
      <c r="A138" s="23">
        <v>137</v>
      </c>
      <c r="B138" s="24" t="s">
        <v>381</v>
      </c>
      <c r="C138" s="24" t="s">
        <v>830</v>
      </c>
      <c r="D138" s="24" t="str">
        <f t="shared" si="12"/>
        <v>keyFunc_ppt_3DRotationOptionsDialog</v>
      </c>
      <c r="E138" s="24" t="str">
        <f t="shared" si="10"/>
        <v>keyFunc_ppt_3DRotationOptionsDialog() {</v>
      </c>
      <c r="F138" s="22" t="s">
        <v>702</v>
      </c>
      <c r="G138" s="24" t="str">
        <f t="shared" si="11"/>
        <v xml:space="preserve">    pptApp.CommandBars.ExecuteMso("_3DRotationOptionsDialog")                ;3D旋转选项对话框</v>
      </c>
      <c r="H138" s="24" t="s">
        <v>704</v>
      </c>
    </row>
    <row r="139" spans="1:8" ht="21.6" customHeight="1">
      <c r="A139" s="23">
        <v>138</v>
      </c>
      <c r="B139" s="24" t="s">
        <v>382</v>
      </c>
      <c r="C139" s="24" t="s">
        <v>831</v>
      </c>
      <c r="D139" s="24" t="str">
        <f t="shared" si="12"/>
        <v>keyFunc_pptObjectFormatDialog</v>
      </c>
      <c r="E139" s="24" t="str">
        <f t="shared" si="10"/>
        <v>keyFunc_pptObjectFormatDialog() {</v>
      </c>
      <c r="F139" s="22" t="s">
        <v>702</v>
      </c>
      <c r="G139" s="24" t="str">
        <f t="shared" si="11"/>
        <v xml:space="preserve">    pptApp.CommandBars.ExecuteMso("ObjectFormatDialog")                ;对象格式对话框</v>
      </c>
      <c r="H139" s="24" t="s">
        <v>704</v>
      </c>
    </row>
    <row r="140" spans="1:8" ht="21.6" customHeight="1">
      <c r="A140" s="23">
        <v>139</v>
      </c>
      <c r="B140" s="24" t="s">
        <v>384</v>
      </c>
      <c r="C140" s="24" t="s">
        <v>832</v>
      </c>
      <c r="D140" s="24" t="str">
        <f t="shared" si="12"/>
        <v>keyFunc_pptGroupEditing</v>
      </c>
      <c r="E140" s="24" t="str">
        <f t="shared" si="10"/>
        <v>keyFunc_pptGroupEditing() {</v>
      </c>
      <c r="F140" s="22" t="s">
        <v>702</v>
      </c>
      <c r="G140" s="24" t="str">
        <f t="shared" si="11"/>
        <v xml:space="preserve">    pptApp.CommandBars.ExecuteMso("GroupEditing")                ;编辑分组</v>
      </c>
      <c r="H140" s="24" t="s">
        <v>704</v>
      </c>
    </row>
    <row r="141" spans="1:8" ht="21.6" customHeight="1">
      <c r="A141" s="23">
        <v>140</v>
      </c>
      <c r="B141" s="24" t="s">
        <v>386</v>
      </c>
      <c r="C141" s="24" t="s">
        <v>833</v>
      </c>
      <c r="D141" s="24" t="str">
        <f t="shared" si="12"/>
        <v>keyFunc_pptFindDialog</v>
      </c>
      <c r="E141" s="24" t="str">
        <f t="shared" si="10"/>
        <v>keyFunc_pptFindDialog() {</v>
      </c>
      <c r="F141" s="22" t="s">
        <v>702</v>
      </c>
      <c r="G141" s="24" t="str">
        <f t="shared" si="11"/>
        <v xml:space="preserve">    pptApp.CommandBars.ExecuteMso("FindDialog")                ;查找对话框</v>
      </c>
      <c r="H141" s="24" t="s">
        <v>704</v>
      </c>
    </row>
    <row r="142" spans="1:8" ht="21.6" customHeight="1">
      <c r="A142" s="23">
        <v>141</v>
      </c>
      <c r="B142" s="24" t="s">
        <v>388</v>
      </c>
      <c r="C142" s="24" t="s">
        <v>834</v>
      </c>
      <c r="D142" s="24" t="str">
        <f t="shared" si="12"/>
        <v>keyFunc_pptReplaceMenu</v>
      </c>
      <c r="E142" s="24" t="str">
        <f t="shared" si="10"/>
        <v>keyFunc_pptReplaceMenu() {</v>
      </c>
      <c r="F142" s="22" t="s">
        <v>702</v>
      </c>
      <c r="G142" s="24" t="str">
        <f t="shared" si="11"/>
        <v xml:space="preserve">    pptApp.CommandBars.ExecuteMso("ReplaceMenu")                ;替换菜单</v>
      </c>
      <c r="H142" s="24" t="s">
        <v>704</v>
      </c>
    </row>
    <row r="143" spans="1:8" ht="21.6" customHeight="1">
      <c r="A143" s="23">
        <v>142</v>
      </c>
      <c r="B143" s="24" t="s">
        <v>390</v>
      </c>
      <c r="C143" s="24" t="s">
        <v>835</v>
      </c>
      <c r="D143" s="24" t="str">
        <f t="shared" si="12"/>
        <v>keyFunc_pptReplaceDialog</v>
      </c>
      <c r="E143" s="24" t="str">
        <f t="shared" si="10"/>
        <v>keyFunc_pptReplaceDialog() {</v>
      </c>
      <c r="F143" s="22" t="s">
        <v>702</v>
      </c>
      <c r="G143" s="24" t="str">
        <f t="shared" si="11"/>
        <v xml:space="preserve">    pptApp.CommandBars.ExecuteMso("ReplaceDialog")                ;替换对话框</v>
      </c>
      <c r="H143" s="24" t="s">
        <v>704</v>
      </c>
    </row>
    <row r="144" spans="1:8" ht="21.6" customHeight="1">
      <c r="A144" s="23">
        <v>143</v>
      </c>
      <c r="B144" s="24" t="s">
        <v>392</v>
      </c>
      <c r="C144" s="24" t="s">
        <v>836</v>
      </c>
      <c r="D144" s="24" t="str">
        <f t="shared" si="12"/>
        <v>keyFunc_pptFontsReplaceFonts</v>
      </c>
      <c r="E144" s="24" t="str">
        <f t="shared" si="10"/>
        <v>keyFunc_pptFontsReplaceFonts() {</v>
      </c>
      <c r="F144" s="22" t="s">
        <v>702</v>
      </c>
      <c r="G144" s="24" t="str">
        <f t="shared" si="11"/>
        <v xml:space="preserve">    pptApp.CommandBars.ExecuteMso("FontsReplaceFonts")                ;替换字体</v>
      </c>
      <c r="H144" s="24" t="s">
        <v>704</v>
      </c>
    </row>
    <row r="145" spans="1:8" ht="21.6" customHeight="1">
      <c r="A145" s="23">
        <v>144</v>
      </c>
      <c r="B145" s="24" t="s">
        <v>393</v>
      </c>
      <c r="C145" s="24" t="s">
        <v>837</v>
      </c>
      <c r="D145" s="24" t="str">
        <f t="shared" si="12"/>
        <v>keyFunc_pptSelectMenu</v>
      </c>
      <c r="E145" s="24" t="str">
        <f t="shared" si="10"/>
        <v>keyFunc_pptSelectMenu() {</v>
      </c>
      <c r="F145" s="22" t="s">
        <v>702</v>
      </c>
      <c r="G145" s="24" t="str">
        <f t="shared" si="11"/>
        <v xml:space="preserve">    pptApp.CommandBars.ExecuteMso("SelectMenu")                ;选择菜单</v>
      </c>
      <c r="H145" s="24" t="s">
        <v>704</v>
      </c>
    </row>
    <row r="146" spans="1:8" ht="21.6" customHeight="1">
      <c r="A146" s="23">
        <v>145</v>
      </c>
      <c r="B146" s="24" t="s">
        <v>395</v>
      </c>
      <c r="C146" s="24" t="s">
        <v>838</v>
      </c>
      <c r="D146" s="24" t="str">
        <f t="shared" si="12"/>
        <v>keyFunc_pptSelectAll</v>
      </c>
      <c r="E146" s="24" t="str">
        <f t="shared" si="10"/>
        <v>keyFunc_pptSelectAll() {</v>
      </c>
      <c r="F146" s="22" t="s">
        <v>702</v>
      </c>
      <c r="G146" s="24" t="str">
        <f t="shared" si="11"/>
        <v xml:space="preserve">    pptApp.CommandBars.ExecuteMso("SelectAll")                ;全选</v>
      </c>
      <c r="H146" s="24" t="s">
        <v>704</v>
      </c>
    </row>
    <row r="147" spans="1:8" ht="21.6" customHeight="1">
      <c r="A147" s="23">
        <v>146</v>
      </c>
      <c r="B147" s="24" t="s">
        <v>397</v>
      </c>
      <c r="C147" s="24" t="s">
        <v>839</v>
      </c>
      <c r="D147" s="24" t="str">
        <f t="shared" si="12"/>
        <v>keyFunc_pptObjectsSelect</v>
      </c>
      <c r="E147" s="24" t="str">
        <f t="shared" si="10"/>
        <v>keyFunc_pptObjectsSelect() {</v>
      </c>
      <c r="F147" s="22" t="s">
        <v>702</v>
      </c>
      <c r="G147" s="24" t="str">
        <f t="shared" si="11"/>
        <v xml:space="preserve">    pptApp.CommandBars.ExecuteMso("ObjectsSelect")                ;选择对象</v>
      </c>
      <c r="H147" s="24" t="s">
        <v>704</v>
      </c>
    </row>
    <row r="148" spans="1:8" ht="21.6" customHeight="1">
      <c r="A148" s="23">
        <v>147</v>
      </c>
      <c r="B148" s="24" t="s">
        <v>330</v>
      </c>
      <c r="C148" s="24" t="s">
        <v>794</v>
      </c>
      <c r="D148" s="24" t="str">
        <f t="shared" si="12"/>
        <v>keyFunc_pptSelectionPane</v>
      </c>
      <c r="E148" s="24" t="str">
        <f t="shared" si="10"/>
        <v>keyFunc_pptSelectionPane() {</v>
      </c>
      <c r="F148" s="22" t="s">
        <v>702</v>
      </c>
      <c r="G148" s="24" t="str">
        <f t="shared" si="11"/>
        <v xml:space="preserve">    pptApp.CommandBars.ExecuteMso("SelectionPane")                ;选择窗格</v>
      </c>
      <c r="H148" s="24" t="s">
        <v>704</v>
      </c>
    </row>
    <row r="149" spans="1:8" ht="21.6" customHeight="1">
      <c r="A149" s="23">
        <v>148</v>
      </c>
      <c r="B149" s="24" t="s">
        <v>398</v>
      </c>
      <c r="C149" s="24" t="s">
        <v>840</v>
      </c>
      <c r="D149" s="24" t="str">
        <f t="shared" si="12"/>
        <v>keyFunc_pptTabInsert</v>
      </c>
      <c r="E149" s="24" t="str">
        <f t="shared" si="10"/>
        <v>keyFunc_pptTabInsert() {</v>
      </c>
      <c r="F149" s="22" t="s">
        <v>702</v>
      </c>
      <c r="G149" s="24" t="str">
        <f t="shared" si="11"/>
        <v xml:space="preserve">    pptApp.CommandBars.ExecuteMso("TabInsert")                ;插入选项卡</v>
      </c>
      <c r="H149" s="24" t="s">
        <v>704</v>
      </c>
    </row>
    <row r="150" spans="1:8" ht="21.6" customHeight="1">
      <c r="A150" s="23">
        <v>149</v>
      </c>
      <c r="B150" s="24" t="s">
        <v>400</v>
      </c>
      <c r="C150" s="24" t="s">
        <v>728</v>
      </c>
      <c r="D150" s="24" t="str">
        <f t="shared" si="12"/>
        <v>keyFunc_pptGroupSlides2</v>
      </c>
      <c r="E150" s="24" t="str">
        <f t="shared" si="10"/>
        <v>keyFunc_pptGroupSlides2() {</v>
      </c>
      <c r="F150" s="22" t="s">
        <v>702</v>
      </c>
      <c r="G150" s="24" t="str">
        <f t="shared" si="11"/>
        <v xml:space="preserve">    pptApp.CommandBars.ExecuteMso("GroupSlides2")                ;幻灯片分组</v>
      </c>
      <c r="H150" s="24" t="s">
        <v>704</v>
      </c>
    </row>
    <row r="151" spans="1:8" ht="21.6" customHeight="1">
      <c r="A151" s="23">
        <v>150</v>
      </c>
      <c r="B151" s="24" t="s">
        <v>401</v>
      </c>
      <c r="C151" s="24" t="s">
        <v>841</v>
      </c>
      <c r="D151" s="24" t="str">
        <f t="shared" si="12"/>
        <v>keyFunc_pptSlideNewGalleryInsert</v>
      </c>
      <c r="E151" s="24" t="str">
        <f t="shared" si="10"/>
        <v>keyFunc_pptSlideNewGalleryInsert() {</v>
      </c>
      <c r="F151" s="22" t="s">
        <v>702</v>
      </c>
      <c r="G151" s="24" t="str">
        <f t="shared" si="11"/>
        <v xml:space="preserve">    pptApp.CommandBars.ExecuteMso("SlideNewGalleryInsert")                ;新建幻灯片图库插入</v>
      </c>
      <c r="H151" s="24" t="s">
        <v>704</v>
      </c>
    </row>
    <row r="152" spans="1:8" ht="21.6" customHeight="1">
      <c r="A152" s="23">
        <v>151</v>
      </c>
      <c r="B152" s="24" t="s">
        <v>304</v>
      </c>
      <c r="C152" s="24" t="s">
        <v>729</v>
      </c>
      <c r="D152" s="24" t="str">
        <f t="shared" si="12"/>
        <v>keyFunc_pptDuplicateSelectedSlides</v>
      </c>
      <c r="E152" s="24" t="str">
        <f t="shared" si="10"/>
        <v>keyFunc_pptDuplicateSelectedSlides() {</v>
      </c>
      <c r="F152" s="22" t="s">
        <v>702</v>
      </c>
      <c r="G152" s="24" t="str">
        <f t="shared" si="11"/>
        <v xml:space="preserve">    pptApp.CommandBars.ExecuteMso("DuplicateSelectedSlides")                ;复制所选幻灯片</v>
      </c>
      <c r="H152" s="24" t="s">
        <v>704</v>
      </c>
    </row>
    <row r="153" spans="1:8" ht="21.6" customHeight="1">
      <c r="A153" s="23">
        <v>152</v>
      </c>
      <c r="B153" s="24" t="s">
        <v>305</v>
      </c>
      <c r="C153" s="24" t="s">
        <v>730</v>
      </c>
      <c r="D153" s="24" t="str">
        <f t="shared" si="12"/>
        <v>keyFunc_pptSlidesFromOutline</v>
      </c>
      <c r="E153" s="24" t="str">
        <f t="shared" si="10"/>
        <v>keyFunc_pptSlidesFromOutline() {</v>
      </c>
      <c r="F153" s="22" t="s">
        <v>702</v>
      </c>
      <c r="G153" s="24" t="str">
        <f t="shared" si="11"/>
        <v xml:space="preserve">    pptApp.CommandBars.ExecuteMso("SlidesFromOutline")                ;从大纲生成幻灯片</v>
      </c>
      <c r="H153" s="24" t="s">
        <v>704</v>
      </c>
    </row>
    <row r="154" spans="1:8" ht="21.6" customHeight="1">
      <c r="A154" s="23">
        <v>153</v>
      </c>
      <c r="B154" s="24" t="s">
        <v>306</v>
      </c>
      <c r="C154" s="24" t="s">
        <v>842</v>
      </c>
      <c r="D154" s="24" t="str">
        <f t="shared" si="12"/>
        <v>keyFunc_pptSlidesReuseSlides</v>
      </c>
      <c r="E154" s="24" t="str">
        <f t="shared" si="10"/>
        <v>keyFunc_pptSlidesReuseSlides() {</v>
      </c>
      <c r="F154" s="22" t="s">
        <v>702</v>
      </c>
      <c r="G154" s="24" t="str">
        <f t="shared" si="11"/>
        <v xml:space="preserve">    pptApp.CommandBars.ExecuteMso("SlidesReuseSlides")                ;幻灯片重用</v>
      </c>
      <c r="H154" s="24" t="s">
        <v>704</v>
      </c>
    </row>
    <row r="155" spans="1:8" ht="21.6" customHeight="1">
      <c r="A155" s="23">
        <v>154</v>
      </c>
      <c r="B155" s="24" t="s">
        <v>403</v>
      </c>
      <c r="C155" s="24" t="s">
        <v>843</v>
      </c>
      <c r="D155" s="24" t="str">
        <f t="shared" si="12"/>
        <v>keyFunc_pptGroupInsertTables</v>
      </c>
      <c r="E155" s="24" t="str">
        <f t="shared" si="10"/>
        <v>keyFunc_pptGroupInsertTables() {</v>
      </c>
      <c r="F155" s="22" t="s">
        <v>702</v>
      </c>
      <c r="G155" s="24" t="str">
        <f t="shared" si="11"/>
        <v xml:space="preserve">    pptApp.CommandBars.ExecuteMso("GroupInsertTables")                ;插入表格分组</v>
      </c>
      <c r="H155" s="24" t="s">
        <v>704</v>
      </c>
    </row>
    <row r="156" spans="1:8" ht="21.6" customHeight="1">
      <c r="A156" s="23">
        <v>155</v>
      </c>
      <c r="B156" s="24" t="s">
        <v>405</v>
      </c>
      <c r="C156" s="24" t="s">
        <v>844</v>
      </c>
      <c r="D156" s="24" t="str">
        <f t="shared" si="12"/>
        <v>keyFunc_pptTableInsertGallery</v>
      </c>
      <c r="E156" s="24" t="str">
        <f t="shared" si="10"/>
        <v>keyFunc_pptTableInsertGallery() {</v>
      </c>
      <c r="F156" s="22" t="s">
        <v>702</v>
      </c>
      <c r="G156" s="24" t="str">
        <f t="shared" si="11"/>
        <v xml:space="preserve">    pptApp.CommandBars.ExecuteMso("TableInsertGallery")                ;表格插入图库</v>
      </c>
      <c r="H156" s="24" t="s">
        <v>704</v>
      </c>
    </row>
    <row r="157" spans="1:8" ht="21.6" customHeight="1">
      <c r="A157" s="23">
        <v>156</v>
      </c>
      <c r="B157" s="24" t="s">
        <v>407</v>
      </c>
      <c r="C157" s="24" t="s">
        <v>845</v>
      </c>
      <c r="D157" s="24" t="str">
        <f t="shared" si="12"/>
        <v>keyFunc_pptTableInsert</v>
      </c>
      <c r="E157" s="24" t="str">
        <f t="shared" si="10"/>
        <v>keyFunc_pptTableInsert() {</v>
      </c>
      <c r="F157" s="22" t="s">
        <v>702</v>
      </c>
      <c r="G157" s="24" t="str">
        <f t="shared" si="11"/>
        <v xml:space="preserve">    pptApp.CommandBars.ExecuteMso("TableInsert")                ;插入表格</v>
      </c>
      <c r="H157" s="24" t="s">
        <v>704</v>
      </c>
    </row>
    <row r="158" spans="1:8" ht="21.6" customHeight="1">
      <c r="A158" s="23">
        <v>157</v>
      </c>
      <c r="B158" s="24" t="s">
        <v>409</v>
      </c>
      <c r="C158" s="24" t="s">
        <v>846</v>
      </c>
      <c r="D158" s="24" t="str">
        <f t="shared" si="12"/>
        <v>keyFunc_pptTableDrawTable</v>
      </c>
      <c r="E158" s="24" t="str">
        <f t="shared" si="10"/>
        <v>keyFunc_pptTableDrawTable() {</v>
      </c>
      <c r="F158" s="22" t="s">
        <v>702</v>
      </c>
      <c r="G158" s="24" t="str">
        <f t="shared" si="11"/>
        <v xml:space="preserve">    pptApp.CommandBars.ExecuteMso("TableDrawTable")                ;绘制表格</v>
      </c>
      <c r="H158" s="24" t="s">
        <v>704</v>
      </c>
    </row>
    <row r="159" spans="1:8" ht="21.6" customHeight="1">
      <c r="A159" s="23">
        <v>158</v>
      </c>
      <c r="B159" s="24" t="s">
        <v>411</v>
      </c>
      <c r="C159" s="24" t="s">
        <v>847</v>
      </c>
      <c r="D159" s="24" t="str">
        <f t="shared" si="12"/>
        <v>keyFunc_pptExcelSpreadsheetInsert</v>
      </c>
      <c r="E159" s="24" t="str">
        <f t="shared" si="10"/>
        <v>keyFunc_pptExcelSpreadsheetInsert() {</v>
      </c>
      <c r="F159" s="22" t="s">
        <v>702</v>
      </c>
      <c r="G159" s="24" t="str">
        <f t="shared" si="11"/>
        <v xml:space="preserve">    pptApp.CommandBars.ExecuteMso("ExcelSpreadsheetInsert")                ;插入Excel</v>
      </c>
      <c r="H159" s="24" t="s">
        <v>704</v>
      </c>
    </row>
    <row r="160" spans="1:8" ht="21.6" customHeight="1">
      <c r="A160" s="23">
        <v>159</v>
      </c>
      <c r="B160" s="24" t="s">
        <v>412</v>
      </c>
      <c r="C160" s="24" t="s">
        <v>848</v>
      </c>
      <c r="D160" s="24" t="str">
        <f t="shared" si="12"/>
        <v>keyFunc_pptGroupImages</v>
      </c>
      <c r="E160" s="24" t="str">
        <f t="shared" si="10"/>
        <v>keyFunc_pptGroupImages() {</v>
      </c>
      <c r="F160" s="22" t="s">
        <v>702</v>
      </c>
      <c r="G160" s="24" t="str">
        <f t="shared" si="11"/>
        <v xml:space="preserve">    pptApp.CommandBars.ExecuteMso("GroupImages")                ;图像分组</v>
      </c>
      <c r="H160" s="24" t="s">
        <v>704</v>
      </c>
    </row>
    <row r="161" spans="1:8" ht="21.6" customHeight="1">
      <c r="A161" s="23">
        <v>160</v>
      </c>
      <c r="B161" s="24" t="s">
        <v>414</v>
      </c>
      <c r="C161" s="24" t="s">
        <v>849</v>
      </c>
      <c r="D161" s="24" t="str">
        <f t="shared" si="12"/>
        <v>keyFunc_pptPictureInsertFromFilePowerPoint</v>
      </c>
      <c r="E161" s="24" t="str">
        <f t="shared" si="10"/>
        <v>keyFunc_pptPictureInsertFromFilePowerPoint() {</v>
      </c>
      <c r="F161" s="22" t="s">
        <v>702</v>
      </c>
      <c r="G161" s="24" t="str">
        <f t="shared" si="11"/>
        <v xml:space="preserve">    pptApp.CommandBars.ExecuteMso("PictureInsertFromFilePowerPoint")                ;从文件插入图片</v>
      </c>
      <c r="H161" s="24" t="s">
        <v>704</v>
      </c>
    </row>
    <row r="162" spans="1:8" ht="21.6" customHeight="1">
      <c r="A162" s="23">
        <v>161</v>
      </c>
      <c r="B162" s="24" t="s">
        <v>701</v>
      </c>
      <c r="C162" s="24" t="s">
        <v>850</v>
      </c>
      <c r="D162" s="24" t="str">
        <f t="shared" si="12"/>
        <v>keyFunc_pptClipArtInsertDialog</v>
      </c>
      <c r="E162" s="24" t="str">
        <f t="shared" ref="E162:E193" si="13">"keyFunc_ppt" &amp; B162 &amp; "() {"</f>
        <v>keyFunc_pptClipArtInsertDialog() {</v>
      </c>
      <c r="F162" s="22" t="s">
        <v>702</v>
      </c>
      <c r="G162" s="24" t="str">
        <f t="shared" ref="G162:G193" si="14">"    pptApp.CommandBars.ExecuteMso(""" &amp; B162 &amp;""")                ;" &amp; C162</f>
        <v xml:space="preserve">    pptApp.CommandBars.ExecuteMso("ClipArtInsertDialog")                ;插入剪贴画对话框</v>
      </c>
      <c r="H162" s="24" t="s">
        <v>704</v>
      </c>
    </row>
    <row r="163" spans="1:8" ht="21.6" customHeight="1">
      <c r="A163" s="23">
        <v>162</v>
      </c>
      <c r="B163" s="24" t="s">
        <v>417</v>
      </c>
      <c r="C163" s="24" t="s">
        <v>851</v>
      </c>
      <c r="D163" s="24" t="str">
        <f t="shared" si="12"/>
        <v>keyFunc_pptScreenshotInsertGallery</v>
      </c>
      <c r="E163" s="24" t="str">
        <f t="shared" si="13"/>
        <v>keyFunc_pptScreenshotInsertGallery() {</v>
      </c>
      <c r="F163" s="22" t="s">
        <v>702</v>
      </c>
      <c r="G163" s="24" t="str">
        <f t="shared" si="14"/>
        <v xml:space="preserve">    pptApp.CommandBars.ExecuteMso("ScreenshotInsertGallery")                ;屏幕截图图库</v>
      </c>
      <c r="H163" s="24" t="s">
        <v>704</v>
      </c>
    </row>
    <row r="164" spans="1:8" ht="21.6" customHeight="1">
      <c r="A164" s="23">
        <v>163</v>
      </c>
      <c r="B164" s="24" t="s">
        <v>418</v>
      </c>
      <c r="C164" s="24" t="s">
        <v>852</v>
      </c>
      <c r="D164" s="24" t="str">
        <f t="shared" si="12"/>
        <v>keyFunc_pptScreenClipping</v>
      </c>
      <c r="E164" s="24" t="str">
        <f t="shared" si="13"/>
        <v>keyFunc_pptScreenClipping() {</v>
      </c>
      <c r="F164" s="22" t="s">
        <v>702</v>
      </c>
      <c r="G164" s="24" t="str">
        <f t="shared" si="14"/>
        <v xml:space="preserve">    pptApp.CommandBars.ExecuteMso("ScreenClipping")                ;屏幕剪贴</v>
      </c>
      <c r="H164" s="24" t="s">
        <v>704</v>
      </c>
    </row>
    <row r="165" spans="1:8" ht="21.6" customHeight="1">
      <c r="A165" s="23">
        <v>164</v>
      </c>
      <c r="B165" s="24" t="s">
        <v>420</v>
      </c>
      <c r="C165" s="24" t="s">
        <v>853</v>
      </c>
      <c r="D165" s="24" t="str">
        <f t="shared" si="12"/>
        <v>keyFunc_pptPhotoAlbumInsertMenu</v>
      </c>
      <c r="E165" s="24" t="str">
        <f t="shared" si="13"/>
        <v>keyFunc_pptPhotoAlbumInsertMenu() {</v>
      </c>
      <c r="F165" s="22" t="s">
        <v>702</v>
      </c>
      <c r="G165" s="24" t="str">
        <f t="shared" si="14"/>
        <v xml:space="preserve">    pptApp.CommandBars.ExecuteMso("PhotoAlbumInsertMenu")                ;幻灯片集插入菜单</v>
      </c>
      <c r="H165" s="24" t="s">
        <v>704</v>
      </c>
    </row>
    <row r="166" spans="1:8" ht="21.6" customHeight="1">
      <c r="A166" s="23">
        <v>165</v>
      </c>
      <c r="B166" s="24" t="s">
        <v>422</v>
      </c>
      <c r="C166" s="24" t="s">
        <v>854</v>
      </c>
      <c r="D166" s="24" t="str">
        <f t="shared" si="12"/>
        <v>keyFunc_pptPhotoAlbumInsert</v>
      </c>
      <c r="E166" s="24" t="str">
        <f t="shared" si="13"/>
        <v>keyFunc_pptPhotoAlbumInsert() {</v>
      </c>
      <c r="F166" s="22" t="s">
        <v>702</v>
      </c>
      <c r="G166" s="24" t="str">
        <f t="shared" si="14"/>
        <v xml:space="preserve">    pptApp.CommandBars.ExecuteMso("PhotoAlbumInsert")                ;插入幻灯片集</v>
      </c>
      <c r="H166" s="24" t="s">
        <v>704</v>
      </c>
    </row>
    <row r="167" spans="1:8" ht="21.6" customHeight="1">
      <c r="A167" s="23">
        <v>166</v>
      </c>
      <c r="B167" s="24" t="s">
        <v>424</v>
      </c>
      <c r="C167" s="24" t="s">
        <v>855</v>
      </c>
      <c r="D167" s="24" t="str">
        <f t="shared" si="12"/>
        <v>keyFunc_pptPhotoAlbumEdit</v>
      </c>
      <c r="E167" s="24" t="str">
        <f t="shared" si="13"/>
        <v>keyFunc_pptPhotoAlbumEdit() {</v>
      </c>
      <c r="F167" s="22" t="s">
        <v>702</v>
      </c>
      <c r="G167" s="24" t="str">
        <f t="shared" si="14"/>
        <v xml:space="preserve">    pptApp.CommandBars.ExecuteMso("PhotoAlbumEdit")                ;编辑幻灯片集</v>
      </c>
      <c r="H167" s="24" t="s">
        <v>704</v>
      </c>
    </row>
    <row r="168" spans="1:8" ht="21.6" customHeight="1">
      <c r="A168" s="23">
        <v>167</v>
      </c>
      <c r="B168" s="24" t="s">
        <v>426</v>
      </c>
      <c r="C168" s="24" t="s">
        <v>856</v>
      </c>
      <c r="D168" s="24" t="str">
        <f t="shared" si="12"/>
        <v>keyFunc_pptGroupInsertIllustrations</v>
      </c>
      <c r="E168" s="24" t="str">
        <f t="shared" si="13"/>
        <v>keyFunc_pptGroupInsertIllustrations() {</v>
      </c>
      <c r="F168" s="22" t="s">
        <v>702</v>
      </c>
      <c r="G168" s="24" t="str">
        <f t="shared" si="14"/>
        <v xml:space="preserve">    pptApp.CommandBars.ExecuteMso("GroupInsertIllustrations")                ;插入插图分组</v>
      </c>
      <c r="H168" s="24" t="s">
        <v>704</v>
      </c>
    </row>
    <row r="169" spans="1:8" ht="21.6" customHeight="1">
      <c r="A169" s="23">
        <v>168</v>
      </c>
      <c r="B169" s="24" t="s">
        <v>428</v>
      </c>
      <c r="C169" s="24" t="s">
        <v>857</v>
      </c>
      <c r="D169" s="24" t="str">
        <f t="shared" si="12"/>
        <v>keyFunc_pptShapesInsertGallery</v>
      </c>
      <c r="E169" s="24" t="str">
        <f t="shared" si="13"/>
        <v>keyFunc_pptShapesInsertGallery() {</v>
      </c>
      <c r="F169" s="22" t="s">
        <v>702</v>
      </c>
      <c r="G169" s="24" t="str">
        <f t="shared" si="14"/>
        <v xml:space="preserve">    pptApp.CommandBars.ExecuteMso("ShapesInsertGallery")                ;形状插入图库</v>
      </c>
      <c r="H169" s="24" t="s">
        <v>704</v>
      </c>
    </row>
    <row r="170" spans="1:8" ht="21.6" customHeight="1">
      <c r="A170" s="23">
        <v>169</v>
      </c>
      <c r="B170" s="24" t="s">
        <v>430</v>
      </c>
      <c r="C170" s="24" t="s">
        <v>858</v>
      </c>
      <c r="D170" s="24" t="str">
        <f t="shared" si="12"/>
        <v>keyFunc_pptSmartArtInsert</v>
      </c>
      <c r="E170" s="24" t="str">
        <f t="shared" si="13"/>
        <v>keyFunc_pptSmartArtInsert() {</v>
      </c>
      <c r="F170" s="22" t="s">
        <v>702</v>
      </c>
      <c r="G170" s="24" t="str">
        <f t="shared" si="14"/>
        <v xml:space="preserve">    pptApp.CommandBars.ExecuteMso("SmartArtInsert")                ;插入智能图形</v>
      </c>
      <c r="H170" s="24" t="s">
        <v>704</v>
      </c>
    </row>
    <row r="171" spans="1:8" ht="21.6" customHeight="1">
      <c r="A171" s="23">
        <v>170</v>
      </c>
      <c r="B171" s="24" t="s">
        <v>432</v>
      </c>
      <c r="C171" s="24" t="s">
        <v>859</v>
      </c>
      <c r="D171" s="24" t="str">
        <f t="shared" si="12"/>
        <v>keyFunc_pptChartInsert</v>
      </c>
      <c r="E171" s="24" t="str">
        <f t="shared" si="13"/>
        <v>keyFunc_pptChartInsert() {</v>
      </c>
      <c r="F171" s="22" t="s">
        <v>702</v>
      </c>
      <c r="G171" s="24" t="str">
        <f t="shared" si="14"/>
        <v xml:space="preserve">    pptApp.CommandBars.ExecuteMso("ChartInsert")                ;插入图表</v>
      </c>
      <c r="H171" s="24" t="s">
        <v>704</v>
      </c>
    </row>
    <row r="172" spans="1:8" ht="21.6" customHeight="1">
      <c r="A172" s="23">
        <v>171</v>
      </c>
      <c r="B172" s="24" t="s">
        <v>434</v>
      </c>
      <c r="C172" s="24" t="s">
        <v>860</v>
      </c>
      <c r="D172" s="24" t="str">
        <f t="shared" si="12"/>
        <v>keyFunc_pptGroupOfficeExtension</v>
      </c>
      <c r="E172" s="24" t="str">
        <f t="shared" si="13"/>
        <v>keyFunc_pptGroupOfficeExtension() {</v>
      </c>
      <c r="F172" s="22" t="s">
        <v>702</v>
      </c>
      <c r="G172" s="24" t="str">
        <f t="shared" si="14"/>
        <v xml:space="preserve">    pptApp.CommandBars.ExecuteMso("GroupOfficeExtension")                ;Office扩展分组</v>
      </c>
      <c r="H172" s="24" t="s">
        <v>704</v>
      </c>
    </row>
    <row r="173" spans="1:8" ht="21.6" customHeight="1">
      <c r="A173" s="23">
        <v>172</v>
      </c>
      <c r="B173" s="24" t="s">
        <v>435</v>
      </c>
      <c r="C173" s="24" t="s">
        <v>861</v>
      </c>
      <c r="D173" s="24" t="str">
        <f t="shared" si="12"/>
        <v>keyFunc_pptOfficeExtensionsAppStore</v>
      </c>
      <c r="E173" s="24" t="str">
        <f t="shared" si="13"/>
        <v>keyFunc_pptOfficeExtensionsAppStore() {</v>
      </c>
      <c r="F173" s="22" t="s">
        <v>702</v>
      </c>
      <c r="G173" s="24" t="str">
        <f t="shared" si="14"/>
        <v xml:space="preserve">    pptApp.CommandBars.ExecuteMso("OfficeExtensionsAppStore")                ;应用商店</v>
      </c>
      <c r="H173" s="24" t="s">
        <v>704</v>
      </c>
    </row>
    <row r="174" spans="1:8" ht="21.6" customHeight="1">
      <c r="A174" s="23">
        <v>173</v>
      </c>
      <c r="B174" s="24" t="s">
        <v>436</v>
      </c>
      <c r="C174" s="24" t="s">
        <v>862</v>
      </c>
      <c r="D174" s="24" t="str">
        <f t="shared" si="12"/>
        <v>keyFunc_pptOfficeExtensionsGallery2</v>
      </c>
      <c r="E174" s="24" t="str">
        <f t="shared" si="13"/>
        <v>keyFunc_pptOfficeExtensionsGallery2() {</v>
      </c>
      <c r="F174" s="22" t="s">
        <v>702</v>
      </c>
      <c r="G174" s="24" t="str">
        <f t="shared" si="14"/>
        <v xml:space="preserve">    pptApp.CommandBars.ExecuteMso("OfficeExtensionsGallery2")                ;扩展库</v>
      </c>
      <c r="H174" s="24" t="s">
        <v>704</v>
      </c>
    </row>
    <row r="175" spans="1:8" ht="21.6" customHeight="1">
      <c r="A175" s="23">
        <v>174</v>
      </c>
      <c r="B175" s="24" t="s">
        <v>437</v>
      </c>
      <c r="C175" s="24" t="s">
        <v>863</v>
      </c>
      <c r="D175" s="24" t="str">
        <f t="shared" si="12"/>
        <v>keyFunc_pptOfficeExtensionsDialog</v>
      </c>
      <c r="E175" s="24" t="str">
        <f t="shared" si="13"/>
        <v>keyFunc_pptOfficeExtensionsDialog() {</v>
      </c>
      <c r="F175" s="22" t="s">
        <v>702</v>
      </c>
      <c r="G175" s="24" t="str">
        <f t="shared" si="14"/>
        <v xml:space="preserve">    pptApp.CommandBars.ExecuteMso("OfficeExtensionsDialog")                ;扩展对话框</v>
      </c>
      <c r="H175" s="24" t="s">
        <v>704</v>
      </c>
    </row>
    <row r="176" spans="1:8" ht="21.6" customHeight="1">
      <c r="A176" s="23">
        <v>175</v>
      </c>
      <c r="B176" s="24" t="s">
        <v>439</v>
      </c>
      <c r="C176" s="24" t="s">
        <v>864</v>
      </c>
      <c r="D176" s="24" t="str">
        <f t="shared" si="12"/>
        <v>keyFunc_pptOfficeExtensionsManageOtherAddins</v>
      </c>
      <c r="E176" s="24" t="str">
        <f t="shared" si="13"/>
        <v>keyFunc_pptOfficeExtensionsManageOtherAddins() {</v>
      </c>
      <c r="F176" s="22" t="s">
        <v>702</v>
      </c>
      <c r="G176" s="24" t="str">
        <f t="shared" si="14"/>
        <v xml:space="preserve">    pptApp.CommandBars.ExecuteMso("OfficeExtensionsManageOtherAddins")                ;管理其他加载项</v>
      </c>
      <c r="H176" s="24" t="s">
        <v>704</v>
      </c>
    </row>
    <row r="177" spans="1:8" ht="21.6" customHeight="1">
      <c r="A177" s="23">
        <v>176</v>
      </c>
      <c r="B177" s="24" t="s">
        <v>440</v>
      </c>
      <c r="C177" s="24" t="s">
        <v>865</v>
      </c>
      <c r="D177" s="24" t="str">
        <f t="shared" si="12"/>
        <v>keyFunc_pptOfficeExtensionsFeaturedApp1</v>
      </c>
      <c r="E177" s="24" t="str">
        <f t="shared" si="13"/>
        <v>keyFunc_pptOfficeExtensionsFeaturedApp1() {</v>
      </c>
      <c r="F177" s="22" t="s">
        <v>702</v>
      </c>
      <c r="G177" s="24" t="str">
        <f t="shared" si="14"/>
        <v xml:space="preserve">    pptApp.CommandBars.ExecuteMso("OfficeExtensionsFeaturedApp1")                ;推荐应用1</v>
      </c>
      <c r="H177" s="24" t="s">
        <v>704</v>
      </c>
    </row>
    <row r="178" spans="1:8" ht="21.6" customHeight="1">
      <c r="A178" s="23">
        <v>177</v>
      </c>
      <c r="B178" s="24" t="s">
        <v>441</v>
      </c>
      <c r="C178" s="24" t="s">
        <v>866</v>
      </c>
      <c r="D178" s="24" t="str">
        <f t="shared" si="12"/>
        <v>keyFunc_pptOfficeExtensionsFeaturedApp2</v>
      </c>
      <c r="E178" s="24" t="str">
        <f t="shared" si="13"/>
        <v>keyFunc_pptOfficeExtensionsFeaturedApp2() {</v>
      </c>
      <c r="F178" s="22" t="s">
        <v>702</v>
      </c>
      <c r="G178" s="24" t="str">
        <f t="shared" si="14"/>
        <v xml:space="preserve">    pptApp.CommandBars.ExecuteMso("OfficeExtensionsFeaturedApp2")                ;推荐应用2</v>
      </c>
      <c r="H178" s="24" t="s">
        <v>704</v>
      </c>
    </row>
    <row r="179" spans="1:8" ht="21.6" customHeight="1">
      <c r="A179" s="23">
        <v>178</v>
      </c>
      <c r="B179" s="24" t="s">
        <v>442</v>
      </c>
      <c r="C179" s="24" t="s">
        <v>867</v>
      </c>
      <c r="D179" s="24" t="str">
        <f t="shared" si="12"/>
        <v>keyFunc_pptOfficeExtensionsFeaturedApp3</v>
      </c>
      <c r="E179" s="24" t="str">
        <f t="shared" si="13"/>
        <v>keyFunc_pptOfficeExtensionsFeaturedApp3() {</v>
      </c>
      <c r="F179" s="22" t="s">
        <v>702</v>
      </c>
      <c r="G179" s="24" t="str">
        <f t="shared" si="14"/>
        <v xml:space="preserve">    pptApp.CommandBars.ExecuteMso("OfficeExtensionsFeaturedApp3")                ;推荐应用3</v>
      </c>
      <c r="H179" s="24" t="s">
        <v>704</v>
      </c>
    </row>
    <row r="180" spans="1:8" ht="21.6" customHeight="1">
      <c r="A180" s="23">
        <v>179</v>
      </c>
      <c r="B180" s="24" t="s">
        <v>443</v>
      </c>
      <c r="C180" s="24" t="s">
        <v>868</v>
      </c>
      <c r="D180" s="24" t="str">
        <f t="shared" si="12"/>
        <v>keyFunc_pptOfficeExtensionsFeaturedApp4</v>
      </c>
      <c r="E180" s="24" t="str">
        <f t="shared" si="13"/>
        <v>keyFunc_pptOfficeExtensionsFeaturedApp4() {</v>
      </c>
      <c r="F180" s="22" t="s">
        <v>702</v>
      </c>
      <c r="G180" s="24" t="str">
        <f t="shared" si="14"/>
        <v xml:space="preserve">    pptApp.CommandBars.ExecuteMso("OfficeExtensionsFeaturedApp4")                ;推荐应用4</v>
      </c>
      <c r="H180" s="24" t="s">
        <v>704</v>
      </c>
    </row>
    <row r="181" spans="1:8" ht="21.6" customHeight="1">
      <c r="A181" s="23">
        <v>180</v>
      </c>
      <c r="B181" s="24" t="s">
        <v>444</v>
      </c>
      <c r="C181" s="24" t="s">
        <v>869</v>
      </c>
      <c r="D181" s="24" t="str">
        <f t="shared" si="12"/>
        <v>keyFunc_pptOfficeExtensionsFeaturedApp5</v>
      </c>
      <c r="E181" s="24" t="str">
        <f t="shared" si="13"/>
        <v>keyFunc_pptOfficeExtensionsFeaturedApp5() {</v>
      </c>
      <c r="F181" s="22" t="s">
        <v>702</v>
      </c>
      <c r="G181" s="24" t="str">
        <f t="shared" si="14"/>
        <v xml:space="preserve">    pptApp.CommandBars.ExecuteMso("OfficeExtensionsFeaturedApp5")                ;推荐应用5</v>
      </c>
      <c r="H181" s="24" t="s">
        <v>704</v>
      </c>
    </row>
    <row r="182" spans="1:8" ht="21.6" customHeight="1">
      <c r="A182" s="23">
        <v>181</v>
      </c>
      <c r="B182" s="24" t="s">
        <v>445</v>
      </c>
      <c r="C182" s="24" t="s">
        <v>870</v>
      </c>
      <c r="D182" s="24" t="str">
        <f t="shared" si="12"/>
        <v>keyFunc_pptOfficeExtensionsFeaturedApp6</v>
      </c>
      <c r="E182" s="24" t="str">
        <f t="shared" si="13"/>
        <v>keyFunc_pptOfficeExtensionsFeaturedApp6() {</v>
      </c>
      <c r="F182" s="22" t="s">
        <v>702</v>
      </c>
      <c r="G182" s="24" t="str">
        <f t="shared" si="14"/>
        <v xml:space="preserve">    pptApp.CommandBars.ExecuteMso("OfficeExtensionsFeaturedApp6")                ;推荐应用6</v>
      </c>
      <c r="H182" s="24" t="s">
        <v>704</v>
      </c>
    </row>
    <row r="183" spans="1:8" ht="21.6" customHeight="1">
      <c r="A183" s="23">
        <v>182</v>
      </c>
      <c r="B183" s="24" t="s">
        <v>446</v>
      </c>
      <c r="C183" s="24" t="s">
        <v>871</v>
      </c>
      <c r="D183" s="24" t="str">
        <f t="shared" si="12"/>
        <v>keyFunc_pptGroupInsertLinks</v>
      </c>
      <c r="E183" s="24" t="str">
        <f t="shared" si="13"/>
        <v>keyFunc_pptGroupInsertLinks() {</v>
      </c>
      <c r="F183" s="22" t="s">
        <v>702</v>
      </c>
      <c r="G183" s="24" t="str">
        <f t="shared" si="14"/>
        <v xml:space="preserve">    pptApp.CommandBars.ExecuteMso("GroupInsertLinks")                ;插入链接分组</v>
      </c>
      <c r="H183" s="24" t="s">
        <v>704</v>
      </c>
    </row>
    <row r="184" spans="1:8" ht="21.6" customHeight="1">
      <c r="A184" s="23">
        <v>183</v>
      </c>
      <c r="B184" s="24" t="s">
        <v>448</v>
      </c>
      <c r="C184" s="24" t="s">
        <v>872</v>
      </c>
      <c r="D184" s="24" t="str">
        <f t="shared" si="12"/>
        <v>keyFunc_pptHyperlinkInsert</v>
      </c>
      <c r="E184" s="24" t="str">
        <f t="shared" si="13"/>
        <v>keyFunc_pptHyperlinkInsert() {</v>
      </c>
      <c r="F184" s="22" t="s">
        <v>702</v>
      </c>
      <c r="G184" s="24" t="str">
        <f t="shared" si="14"/>
        <v xml:space="preserve">    pptApp.CommandBars.ExecuteMso("HyperlinkInsert")                ;插入超链接</v>
      </c>
      <c r="H184" s="24" t="s">
        <v>704</v>
      </c>
    </row>
    <row r="185" spans="1:8" ht="21.6" customHeight="1">
      <c r="A185" s="23">
        <v>184</v>
      </c>
      <c r="B185" s="24" t="s">
        <v>450</v>
      </c>
      <c r="C185" s="24" t="s">
        <v>873</v>
      </c>
      <c r="D185" s="24" t="str">
        <f t="shared" si="12"/>
        <v>keyFunc_pptActionInsert</v>
      </c>
      <c r="E185" s="24" t="str">
        <f t="shared" si="13"/>
        <v>keyFunc_pptActionInsert() {</v>
      </c>
      <c r="F185" s="22" t="s">
        <v>702</v>
      </c>
      <c r="G185" s="24" t="str">
        <f t="shared" si="14"/>
        <v xml:space="preserve">    pptApp.CommandBars.ExecuteMso("ActionInsert")                ;插入动作</v>
      </c>
      <c r="H185" s="24" t="s">
        <v>704</v>
      </c>
    </row>
    <row r="186" spans="1:8" ht="21.6" customHeight="1">
      <c r="A186" s="23">
        <v>185</v>
      </c>
      <c r="B186" s="24" t="s">
        <v>451</v>
      </c>
      <c r="C186" s="24" t="s">
        <v>874</v>
      </c>
      <c r="D186" s="24" t="str">
        <f t="shared" si="12"/>
        <v>keyFunc_pptGroupInsertComments</v>
      </c>
      <c r="E186" s="24" t="str">
        <f t="shared" si="13"/>
        <v>keyFunc_pptGroupInsertComments() {</v>
      </c>
      <c r="F186" s="22" t="s">
        <v>702</v>
      </c>
      <c r="G186" s="24" t="str">
        <f t="shared" si="14"/>
        <v xml:space="preserve">    pptApp.CommandBars.ExecuteMso("GroupInsertComments")                ;插入批注分组</v>
      </c>
      <c r="H186" s="24" t="s">
        <v>704</v>
      </c>
    </row>
    <row r="187" spans="1:8" ht="21.6" customHeight="1">
      <c r="A187" s="23">
        <v>186</v>
      </c>
      <c r="B187" s="24" t="s">
        <v>452</v>
      </c>
      <c r="C187" s="24" t="s">
        <v>875</v>
      </c>
      <c r="D187" s="24" t="str">
        <f t="shared" si="12"/>
        <v>keyFunc_pptInsertNewComment</v>
      </c>
      <c r="E187" s="24" t="str">
        <f t="shared" si="13"/>
        <v>keyFunc_pptInsertNewComment() {</v>
      </c>
      <c r="F187" s="22" t="s">
        <v>702</v>
      </c>
      <c r="G187" s="24" t="str">
        <f t="shared" si="14"/>
        <v xml:space="preserve">    pptApp.CommandBars.ExecuteMso("InsertNewComment")                ;插入新批注</v>
      </c>
      <c r="H187" s="24" t="s">
        <v>704</v>
      </c>
    </row>
    <row r="188" spans="1:8" ht="21.6" customHeight="1">
      <c r="A188" s="23">
        <v>187</v>
      </c>
      <c r="B188" s="24" t="s">
        <v>453</v>
      </c>
      <c r="C188" s="24" t="s">
        <v>876</v>
      </c>
      <c r="D188" s="24" t="str">
        <f t="shared" si="12"/>
        <v>keyFunc_pptGroupInsertText</v>
      </c>
      <c r="E188" s="24" t="str">
        <f t="shared" si="13"/>
        <v>keyFunc_pptGroupInsertText() {</v>
      </c>
      <c r="F188" s="22" t="s">
        <v>702</v>
      </c>
      <c r="G188" s="24" t="str">
        <f t="shared" si="14"/>
        <v xml:space="preserve">    pptApp.CommandBars.ExecuteMso("GroupInsertText")                ;插入文本分组</v>
      </c>
      <c r="H188" s="24" t="s">
        <v>704</v>
      </c>
    </row>
    <row r="189" spans="1:8" ht="21.6" customHeight="1">
      <c r="A189" s="23">
        <v>188</v>
      </c>
      <c r="B189" s="24" t="s">
        <v>455</v>
      </c>
      <c r="C189" s="24" t="s">
        <v>877</v>
      </c>
      <c r="D189" s="24" t="str">
        <f t="shared" si="12"/>
        <v>keyFunc_pptTextBoxInsert</v>
      </c>
      <c r="E189" s="24" t="str">
        <f t="shared" si="13"/>
        <v>keyFunc_pptTextBoxInsert() {</v>
      </c>
      <c r="F189" s="22" t="s">
        <v>702</v>
      </c>
      <c r="G189" s="24" t="str">
        <f t="shared" si="14"/>
        <v xml:space="preserve">    pptApp.CommandBars.ExecuteMso("TextBoxInsert")                ;插入文本</v>
      </c>
      <c r="H189" s="24" t="s">
        <v>704</v>
      </c>
    </row>
    <row r="190" spans="1:8" ht="21.6" customHeight="1">
      <c r="A190" s="23">
        <v>189</v>
      </c>
      <c r="B190" s="24" t="s">
        <v>456</v>
      </c>
      <c r="C190" s="24" t="s">
        <v>878</v>
      </c>
      <c r="D190" s="24" t="str">
        <f t="shared" si="12"/>
        <v>keyFunc_pptTextBoxInsertMenu</v>
      </c>
      <c r="E190" s="24" t="str">
        <f t="shared" si="13"/>
        <v>keyFunc_pptTextBoxInsertMenu() {</v>
      </c>
      <c r="F190" s="22" t="s">
        <v>702</v>
      </c>
      <c r="G190" s="24" t="str">
        <f t="shared" si="14"/>
        <v xml:space="preserve">    pptApp.CommandBars.ExecuteMso("TextBoxInsertMenu")                ;文本框插入菜单</v>
      </c>
      <c r="H190" s="24" t="s">
        <v>704</v>
      </c>
    </row>
    <row r="191" spans="1:8" ht="21.6" customHeight="1">
      <c r="A191" s="23">
        <v>190</v>
      </c>
      <c r="B191" s="24" t="s">
        <v>457</v>
      </c>
      <c r="C191" s="24" t="s">
        <v>879</v>
      </c>
      <c r="D191" s="24" t="str">
        <f t="shared" si="12"/>
        <v>keyFunc_pptTextBoxInsertHorizontal</v>
      </c>
      <c r="E191" s="24" t="str">
        <f t="shared" si="13"/>
        <v>keyFunc_pptTextBoxInsertHorizontal() {</v>
      </c>
      <c r="F191" s="22" t="s">
        <v>702</v>
      </c>
      <c r="G191" s="24" t="str">
        <f t="shared" si="14"/>
        <v xml:space="preserve">    pptApp.CommandBars.ExecuteMso("TextBoxInsertHorizontal")                ;水平文本框插入</v>
      </c>
      <c r="H191" s="24" t="s">
        <v>704</v>
      </c>
    </row>
    <row r="192" spans="1:8" ht="21.6" customHeight="1">
      <c r="A192" s="23">
        <v>191</v>
      </c>
      <c r="B192" s="24" t="s">
        <v>458</v>
      </c>
      <c r="C192" s="24" t="s">
        <v>880</v>
      </c>
      <c r="D192" s="24" t="str">
        <f t="shared" si="12"/>
        <v>keyFunc_pptTextBoxInsertVertical</v>
      </c>
      <c r="E192" s="24" t="str">
        <f t="shared" si="13"/>
        <v>keyFunc_pptTextBoxInsertVertical() {</v>
      </c>
      <c r="F192" s="22" t="s">
        <v>702</v>
      </c>
      <c r="G192" s="24" t="str">
        <f t="shared" si="14"/>
        <v xml:space="preserve">    pptApp.CommandBars.ExecuteMso("TextBoxInsertVertical")                ;垂直文本框插入</v>
      </c>
      <c r="H192" s="24" t="s">
        <v>704</v>
      </c>
    </row>
    <row r="193" spans="1:8" ht="21.6" customHeight="1">
      <c r="A193" s="23">
        <v>192</v>
      </c>
      <c r="B193" s="24" t="s">
        <v>459</v>
      </c>
      <c r="C193" s="24" t="s">
        <v>881</v>
      </c>
      <c r="D193" s="24" t="str">
        <f t="shared" si="12"/>
        <v>keyFunc_pptHeaderFooterInsert</v>
      </c>
      <c r="E193" s="24" t="str">
        <f t="shared" si="13"/>
        <v>keyFunc_pptHeaderFooterInsert() {</v>
      </c>
      <c r="F193" s="22" t="s">
        <v>702</v>
      </c>
      <c r="G193" s="24" t="str">
        <f t="shared" si="14"/>
        <v xml:space="preserve">    pptApp.CommandBars.ExecuteMso("HeaderFooterInsert")                ;插入页眉/页脚</v>
      </c>
      <c r="H193" s="24" t="s">
        <v>704</v>
      </c>
    </row>
    <row r="194" spans="1:8" ht="21.6" customHeight="1">
      <c r="A194" s="23">
        <v>199</v>
      </c>
      <c r="D194" s="24" t="str">
        <f t="shared" si="12"/>
        <v>keyFunc_ppt</v>
      </c>
      <c r="F194" s="22" t="s">
        <v>702</v>
      </c>
      <c r="G194" s="24" t="str">
        <f t="shared" ref="G194:G225" si="15">"pptApp.CommandBars.ExecuteMso(""" &amp; B194 &amp;""")                ;" &amp; C194</f>
        <v>pptApp.CommandBars.ExecuteMso("")                ;</v>
      </c>
      <c r="H194" s="24" t="s">
        <v>704</v>
      </c>
    </row>
    <row r="195" spans="1:8" ht="21.6" customHeight="1">
      <c r="A195" s="23">
        <v>200</v>
      </c>
      <c r="D195" s="24" t="str">
        <f t="shared" ref="D195:D211" si="16">"keyFunc_ppt" &amp; B195</f>
        <v>keyFunc_ppt</v>
      </c>
      <c r="F195" s="22" t="s">
        <v>702</v>
      </c>
      <c r="G195" s="24" t="str">
        <f t="shared" si="15"/>
        <v>pptApp.CommandBars.ExecuteMso("")                ;</v>
      </c>
      <c r="H195" s="24" t="s">
        <v>704</v>
      </c>
    </row>
    <row r="196" spans="1:8" ht="21.6" customHeight="1">
      <c r="A196" s="23">
        <v>201</v>
      </c>
      <c r="D196" s="24" t="str">
        <f t="shared" si="16"/>
        <v>keyFunc_ppt</v>
      </c>
      <c r="F196" s="22" t="s">
        <v>702</v>
      </c>
      <c r="G196" s="24" t="str">
        <f t="shared" si="15"/>
        <v>pptApp.CommandBars.ExecuteMso("")                ;</v>
      </c>
      <c r="H196" s="24" t="s">
        <v>704</v>
      </c>
    </row>
    <row r="197" spans="1:8" ht="21.6" customHeight="1">
      <c r="A197" s="23">
        <v>202</v>
      </c>
      <c r="D197" s="24" t="str">
        <f t="shared" si="16"/>
        <v>keyFunc_ppt</v>
      </c>
      <c r="F197" s="22" t="s">
        <v>702</v>
      </c>
      <c r="G197" s="24" t="str">
        <f t="shared" si="15"/>
        <v>pptApp.CommandBars.ExecuteMso("")                ;</v>
      </c>
      <c r="H197" s="24" t="s">
        <v>704</v>
      </c>
    </row>
    <row r="198" spans="1:8" ht="21.6" customHeight="1">
      <c r="A198" s="23">
        <v>203</v>
      </c>
      <c r="D198" s="24" t="str">
        <f t="shared" si="16"/>
        <v>keyFunc_ppt</v>
      </c>
      <c r="F198" s="22" t="s">
        <v>702</v>
      </c>
      <c r="G198" s="24" t="str">
        <f t="shared" si="15"/>
        <v>pptApp.CommandBars.ExecuteMso("")                ;</v>
      </c>
      <c r="H198" s="24" t="s">
        <v>704</v>
      </c>
    </row>
    <row r="199" spans="1:8" ht="21.6" customHeight="1">
      <c r="A199" s="23">
        <v>204</v>
      </c>
      <c r="D199" s="24" t="str">
        <f t="shared" si="16"/>
        <v>keyFunc_ppt</v>
      </c>
      <c r="F199" s="22" t="s">
        <v>702</v>
      </c>
      <c r="G199" s="24" t="str">
        <f t="shared" si="15"/>
        <v>pptApp.CommandBars.ExecuteMso("")                ;</v>
      </c>
      <c r="H199" s="24" t="s">
        <v>704</v>
      </c>
    </row>
    <row r="200" spans="1:8" ht="21.6" customHeight="1">
      <c r="A200" s="23">
        <v>205</v>
      </c>
      <c r="D200" s="24" t="str">
        <f t="shared" si="16"/>
        <v>keyFunc_ppt</v>
      </c>
      <c r="F200" s="22" t="s">
        <v>702</v>
      </c>
      <c r="G200" s="24" t="str">
        <f t="shared" si="15"/>
        <v>pptApp.CommandBars.ExecuteMso("")                ;</v>
      </c>
      <c r="H200" s="24" t="s">
        <v>704</v>
      </c>
    </row>
    <row r="201" spans="1:8" ht="21.6" customHeight="1">
      <c r="A201" s="23">
        <v>206</v>
      </c>
      <c r="D201" s="24" t="str">
        <f t="shared" si="16"/>
        <v>keyFunc_ppt</v>
      </c>
      <c r="F201" s="22" t="s">
        <v>702</v>
      </c>
      <c r="G201" s="24" t="str">
        <f t="shared" si="15"/>
        <v>pptApp.CommandBars.ExecuteMso("")                ;</v>
      </c>
      <c r="H201" s="24" t="s">
        <v>704</v>
      </c>
    </row>
    <row r="202" spans="1:8" ht="21.6" customHeight="1">
      <c r="A202" s="23">
        <v>207</v>
      </c>
      <c r="D202" s="24" t="str">
        <f t="shared" si="16"/>
        <v>keyFunc_ppt</v>
      </c>
      <c r="F202" s="22" t="s">
        <v>702</v>
      </c>
      <c r="G202" s="24" t="str">
        <f t="shared" si="15"/>
        <v>pptApp.CommandBars.ExecuteMso("")                ;</v>
      </c>
      <c r="H202" s="24" t="s">
        <v>704</v>
      </c>
    </row>
    <row r="203" spans="1:8" ht="21.6" customHeight="1">
      <c r="A203" s="23">
        <v>208</v>
      </c>
      <c r="D203" s="24" t="str">
        <f t="shared" si="16"/>
        <v>keyFunc_ppt</v>
      </c>
      <c r="F203" s="22" t="s">
        <v>702</v>
      </c>
      <c r="G203" s="24" t="str">
        <f t="shared" si="15"/>
        <v>pptApp.CommandBars.ExecuteMso("")                ;</v>
      </c>
      <c r="H203" s="24" t="s">
        <v>704</v>
      </c>
    </row>
    <row r="204" spans="1:8" ht="21.6" customHeight="1">
      <c r="A204" s="23">
        <v>209</v>
      </c>
      <c r="D204" s="24" t="str">
        <f t="shared" si="16"/>
        <v>keyFunc_ppt</v>
      </c>
      <c r="F204" s="22" t="s">
        <v>702</v>
      </c>
      <c r="G204" s="24" t="str">
        <f t="shared" si="15"/>
        <v>pptApp.CommandBars.ExecuteMso("")                ;</v>
      </c>
      <c r="H204" s="24" t="s">
        <v>704</v>
      </c>
    </row>
    <row r="205" spans="1:8" ht="21.6" customHeight="1">
      <c r="A205" s="23">
        <v>210</v>
      </c>
      <c r="D205" s="24" t="str">
        <f t="shared" si="16"/>
        <v>keyFunc_ppt</v>
      </c>
      <c r="F205" s="22" t="s">
        <v>702</v>
      </c>
      <c r="G205" s="24" t="str">
        <f t="shared" si="15"/>
        <v>pptApp.CommandBars.ExecuteMso("")                ;</v>
      </c>
      <c r="H205" s="24" t="s">
        <v>704</v>
      </c>
    </row>
    <row r="206" spans="1:8" ht="21.6" customHeight="1">
      <c r="A206" s="23">
        <v>211</v>
      </c>
      <c r="D206" s="24" t="str">
        <f t="shared" si="16"/>
        <v>keyFunc_ppt</v>
      </c>
      <c r="F206" s="22" t="s">
        <v>702</v>
      </c>
      <c r="G206" s="24" t="str">
        <f t="shared" si="15"/>
        <v>pptApp.CommandBars.ExecuteMso("")                ;</v>
      </c>
      <c r="H206" s="24" t="s">
        <v>704</v>
      </c>
    </row>
    <row r="207" spans="1:8" ht="21.6" customHeight="1">
      <c r="A207" s="23">
        <v>212</v>
      </c>
      <c r="D207" s="24" t="str">
        <f t="shared" si="16"/>
        <v>keyFunc_ppt</v>
      </c>
      <c r="F207" s="22" t="s">
        <v>702</v>
      </c>
      <c r="G207" s="24" t="str">
        <f t="shared" si="15"/>
        <v>pptApp.CommandBars.ExecuteMso("")                ;</v>
      </c>
      <c r="H207" s="24" t="s">
        <v>704</v>
      </c>
    </row>
    <row r="208" spans="1:8" ht="21.6" customHeight="1">
      <c r="A208" s="23">
        <v>213</v>
      </c>
      <c r="D208" s="24" t="str">
        <f t="shared" si="16"/>
        <v>keyFunc_ppt</v>
      </c>
      <c r="F208" s="22" t="s">
        <v>702</v>
      </c>
      <c r="G208" s="24" t="str">
        <f t="shared" si="15"/>
        <v>pptApp.CommandBars.ExecuteMso("")                ;</v>
      </c>
      <c r="H208" s="24" t="s">
        <v>704</v>
      </c>
    </row>
    <row r="209" spans="1:8" ht="21.6" customHeight="1">
      <c r="A209" s="23">
        <v>214</v>
      </c>
      <c r="D209" s="24" t="str">
        <f t="shared" si="16"/>
        <v>keyFunc_ppt</v>
      </c>
      <c r="F209" s="22" t="s">
        <v>702</v>
      </c>
      <c r="G209" s="24" t="str">
        <f t="shared" si="15"/>
        <v>pptApp.CommandBars.ExecuteMso("")                ;</v>
      </c>
      <c r="H209" s="24" t="s">
        <v>704</v>
      </c>
    </row>
    <row r="210" spans="1:8" ht="21.6" customHeight="1">
      <c r="A210" s="23">
        <v>215</v>
      </c>
      <c r="D210" s="24" t="str">
        <f t="shared" si="16"/>
        <v>keyFunc_ppt</v>
      </c>
      <c r="F210" s="22" t="s">
        <v>702</v>
      </c>
      <c r="G210" s="24" t="str">
        <f t="shared" si="15"/>
        <v>pptApp.CommandBars.ExecuteMso("")                ;</v>
      </c>
      <c r="H210" s="24" t="s">
        <v>704</v>
      </c>
    </row>
    <row r="211" spans="1:8" ht="21.6" customHeight="1">
      <c r="A211" s="23">
        <v>216</v>
      </c>
      <c r="D211" s="24" t="str">
        <f t="shared" si="16"/>
        <v>keyFunc_ppt</v>
      </c>
      <c r="F211" s="22" t="s">
        <v>702</v>
      </c>
      <c r="G211" s="24" t="str">
        <f t="shared" si="15"/>
        <v>pptApp.CommandBars.ExecuteMso("")                ;</v>
      </c>
      <c r="H211" s="24" t="s">
        <v>704</v>
      </c>
    </row>
    <row r="212" spans="1:8" ht="21.6" customHeight="1">
      <c r="A212" s="23">
        <v>217</v>
      </c>
      <c r="F212" s="22" t="s">
        <v>702</v>
      </c>
      <c r="G212" s="24" t="str">
        <f t="shared" si="15"/>
        <v>pptApp.CommandBars.ExecuteMso("")                ;</v>
      </c>
      <c r="H212" s="24" t="s">
        <v>704</v>
      </c>
    </row>
    <row r="213" spans="1:8" ht="21.6" customHeight="1">
      <c r="A213" s="23">
        <v>218</v>
      </c>
      <c r="F213" s="22" t="s">
        <v>702</v>
      </c>
      <c r="G213" s="24" t="str">
        <f t="shared" si="15"/>
        <v>pptApp.CommandBars.ExecuteMso("")                ;</v>
      </c>
      <c r="H213" s="24" t="s">
        <v>704</v>
      </c>
    </row>
    <row r="214" spans="1:8" ht="21.6" customHeight="1">
      <c r="A214" s="23">
        <v>219</v>
      </c>
      <c r="F214" s="22" t="s">
        <v>702</v>
      </c>
      <c r="G214" s="24" t="str">
        <f t="shared" si="15"/>
        <v>pptApp.CommandBars.ExecuteMso("")                ;</v>
      </c>
      <c r="H214" s="24" t="s">
        <v>704</v>
      </c>
    </row>
    <row r="215" spans="1:8" ht="21.6" customHeight="1">
      <c r="A215" s="23">
        <v>220</v>
      </c>
      <c r="F215" s="22" t="s">
        <v>702</v>
      </c>
      <c r="G215" s="24" t="str">
        <f t="shared" si="15"/>
        <v>pptApp.CommandBars.ExecuteMso("")                ;</v>
      </c>
      <c r="H215" s="24" t="s">
        <v>704</v>
      </c>
    </row>
    <row r="216" spans="1:8" ht="21.6" customHeight="1">
      <c r="A216" s="23">
        <v>221</v>
      </c>
      <c r="F216" s="22" t="s">
        <v>702</v>
      </c>
      <c r="G216" s="24" t="str">
        <f t="shared" si="15"/>
        <v>pptApp.CommandBars.ExecuteMso("")                ;</v>
      </c>
      <c r="H216" s="24" t="s">
        <v>704</v>
      </c>
    </row>
    <row r="217" spans="1:8" ht="21.6" customHeight="1">
      <c r="A217" s="23">
        <v>222</v>
      </c>
      <c r="F217" s="22" t="s">
        <v>702</v>
      </c>
      <c r="G217" s="24" t="str">
        <f t="shared" si="15"/>
        <v>pptApp.CommandBars.ExecuteMso("")                ;</v>
      </c>
      <c r="H217" s="24" t="s">
        <v>704</v>
      </c>
    </row>
    <row r="218" spans="1:8" ht="21.6" customHeight="1">
      <c r="A218" s="23">
        <v>223</v>
      </c>
      <c r="F218" s="22" t="s">
        <v>702</v>
      </c>
      <c r="G218" s="24" t="str">
        <f t="shared" si="15"/>
        <v>pptApp.CommandBars.ExecuteMso("")                ;</v>
      </c>
      <c r="H218" s="24" t="s">
        <v>704</v>
      </c>
    </row>
    <row r="219" spans="1:8" ht="21.6" customHeight="1">
      <c r="A219" s="23">
        <v>224</v>
      </c>
      <c r="F219" s="22" t="s">
        <v>702</v>
      </c>
      <c r="G219" s="24" t="str">
        <f t="shared" si="15"/>
        <v>pptApp.CommandBars.ExecuteMso("")                ;</v>
      </c>
      <c r="H219" s="24" t="s">
        <v>704</v>
      </c>
    </row>
    <row r="220" spans="1:8" ht="21.6" customHeight="1">
      <c r="A220" s="23">
        <v>225</v>
      </c>
      <c r="F220" s="22" t="s">
        <v>702</v>
      </c>
      <c r="G220" s="24" t="str">
        <f t="shared" si="15"/>
        <v>pptApp.CommandBars.ExecuteMso("")                ;</v>
      </c>
      <c r="H220" s="24" t="s">
        <v>704</v>
      </c>
    </row>
    <row r="221" spans="1:8" ht="21.6" customHeight="1">
      <c r="A221" s="23">
        <v>226</v>
      </c>
      <c r="F221" s="22" t="s">
        <v>702</v>
      </c>
      <c r="G221" s="24" t="str">
        <f t="shared" si="15"/>
        <v>pptApp.CommandBars.ExecuteMso("")                ;</v>
      </c>
      <c r="H221" s="24" t="s">
        <v>704</v>
      </c>
    </row>
    <row r="222" spans="1:8" ht="21.6" customHeight="1">
      <c r="A222" s="23">
        <v>227</v>
      </c>
      <c r="F222" s="22" t="s">
        <v>702</v>
      </c>
      <c r="G222" s="24" t="str">
        <f t="shared" si="15"/>
        <v>pptApp.CommandBars.ExecuteMso("")                ;</v>
      </c>
      <c r="H222" s="24" t="s">
        <v>704</v>
      </c>
    </row>
    <row r="223" spans="1:8" ht="21.6" customHeight="1">
      <c r="A223" s="23">
        <v>228</v>
      </c>
      <c r="F223" s="22" t="s">
        <v>702</v>
      </c>
      <c r="G223" s="24" t="str">
        <f t="shared" si="15"/>
        <v>pptApp.CommandBars.ExecuteMso("")                ;</v>
      </c>
      <c r="H223" s="24" t="s">
        <v>704</v>
      </c>
    </row>
    <row r="224" spans="1:8" ht="21.6" customHeight="1">
      <c r="A224" s="23">
        <v>229</v>
      </c>
      <c r="F224" s="22" t="s">
        <v>702</v>
      </c>
      <c r="G224" s="24" t="str">
        <f t="shared" si="15"/>
        <v>pptApp.CommandBars.ExecuteMso("")                ;</v>
      </c>
      <c r="H224" s="24" t="s">
        <v>704</v>
      </c>
    </row>
    <row r="225" spans="1:8" ht="21.6" customHeight="1">
      <c r="A225" s="23">
        <v>230</v>
      </c>
      <c r="F225" s="22" t="s">
        <v>702</v>
      </c>
      <c r="G225" s="24" t="str">
        <f t="shared" si="15"/>
        <v>pptApp.CommandBars.ExecuteMso("")                ;</v>
      </c>
      <c r="H225" s="24" t="s">
        <v>704</v>
      </c>
    </row>
    <row r="226" spans="1:8" ht="21.6" customHeight="1">
      <c r="A226" s="23">
        <v>231</v>
      </c>
      <c r="F226" s="22" t="s">
        <v>702</v>
      </c>
      <c r="G226" s="24" t="str">
        <f t="shared" ref="G226:G257" si="17">"pptApp.CommandBars.ExecuteMso(""" &amp; B226 &amp;""")                ;" &amp; C226</f>
        <v>pptApp.CommandBars.ExecuteMso("")                ;</v>
      </c>
      <c r="H226" s="24" t="s">
        <v>704</v>
      </c>
    </row>
    <row r="227" spans="1:8" ht="21.6" customHeight="1">
      <c r="A227" s="23">
        <v>232</v>
      </c>
      <c r="F227" s="22" t="s">
        <v>702</v>
      </c>
      <c r="G227" s="24" t="str">
        <f t="shared" si="17"/>
        <v>pptApp.CommandBars.ExecuteMso("")                ;</v>
      </c>
      <c r="H227" s="24" t="s">
        <v>704</v>
      </c>
    </row>
    <row r="228" spans="1:8" ht="21.6" customHeight="1">
      <c r="A228" s="23">
        <v>233</v>
      </c>
      <c r="F228" s="22" t="s">
        <v>702</v>
      </c>
      <c r="G228" s="24" t="str">
        <f t="shared" si="17"/>
        <v>pptApp.CommandBars.ExecuteMso("")                ;</v>
      </c>
      <c r="H228" s="24" t="s">
        <v>704</v>
      </c>
    </row>
    <row r="229" spans="1:8" ht="21.6" customHeight="1">
      <c r="A229" s="23">
        <v>234</v>
      </c>
      <c r="F229" s="22" t="s">
        <v>702</v>
      </c>
      <c r="G229" s="24" t="str">
        <f t="shared" si="17"/>
        <v>pptApp.CommandBars.ExecuteMso("")                ;</v>
      </c>
      <c r="H229" s="24" t="s">
        <v>704</v>
      </c>
    </row>
    <row r="230" spans="1:8" ht="21.6" customHeight="1">
      <c r="A230" s="23">
        <v>235</v>
      </c>
      <c r="F230" s="22" t="s">
        <v>702</v>
      </c>
      <c r="G230" s="24" t="str">
        <f t="shared" si="17"/>
        <v>pptApp.CommandBars.ExecuteMso("")                ;</v>
      </c>
      <c r="H230" s="24" t="s">
        <v>704</v>
      </c>
    </row>
    <row r="231" spans="1:8" ht="21.6" customHeight="1">
      <c r="A231" s="23">
        <v>236</v>
      </c>
      <c r="F231" s="22" t="s">
        <v>702</v>
      </c>
      <c r="G231" s="24" t="str">
        <f t="shared" si="17"/>
        <v>pptApp.CommandBars.ExecuteMso("")                ;</v>
      </c>
      <c r="H231" s="24" t="s">
        <v>704</v>
      </c>
    </row>
    <row r="232" spans="1:8" ht="21.6" customHeight="1">
      <c r="A232" s="23">
        <v>237</v>
      </c>
      <c r="F232" s="22" t="s">
        <v>702</v>
      </c>
      <c r="G232" s="24" t="str">
        <f t="shared" si="17"/>
        <v>pptApp.CommandBars.ExecuteMso("")                ;</v>
      </c>
      <c r="H232" s="24" t="s">
        <v>704</v>
      </c>
    </row>
    <row r="233" spans="1:8" ht="21.6" customHeight="1">
      <c r="A233" s="23">
        <v>238</v>
      </c>
      <c r="F233" s="22" t="s">
        <v>702</v>
      </c>
      <c r="G233" s="24" t="str">
        <f t="shared" si="17"/>
        <v>pptApp.CommandBars.ExecuteMso("")                ;</v>
      </c>
      <c r="H233" s="24" t="s">
        <v>704</v>
      </c>
    </row>
    <row r="234" spans="1:8" ht="21.6" customHeight="1">
      <c r="A234" s="23">
        <v>239</v>
      </c>
      <c r="F234" s="22" t="s">
        <v>702</v>
      </c>
      <c r="G234" s="24" t="str">
        <f t="shared" si="17"/>
        <v>pptApp.CommandBars.ExecuteMso("")                ;</v>
      </c>
      <c r="H234" s="24" t="s">
        <v>704</v>
      </c>
    </row>
    <row r="235" spans="1:8" ht="21.6" customHeight="1">
      <c r="A235" s="23">
        <v>240</v>
      </c>
      <c r="F235" s="22" t="s">
        <v>702</v>
      </c>
      <c r="G235" s="24" t="str">
        <f t="shared" si="17"/>
        <v>pptApp.CommandBars.ExecuteMso("")                ;</v>
      </c>
      <c r="H235" s="24" t="s">
        <v>704</v>
      </c>
    </row>
    <row r="236" spans="1:8" ht="21.6" customHeight="1">
      <c r="A236" s="23">
        <v>241</v>
      </c>
      <c r="F236" s="22" t="s">
        <v>702</v>
      </c>
      <c r="G236" s="24" t="str">
        <f t="shared" si="17"/>
        <v>pptApp.CommandBars.ExecuteMso("")                ;</v>
      </c>
      <c r="H236" s="24" t="s">
        <v>704</v>
      </c>
    </row>
    <row r="237" spans="1:8" ht="21.6" customHeight="1">
      <c r="A237" s="23">
        <v>242</v>
      </c>
      <c r="F237" s="22" t="s">
        <v>702</v>
      </c>
      <c r="G237" s="24" t="str">
        <f t="shared" si="17"/>
        <v>pptApp.CommandBars.ExecuteMso("")                ;</v>
      </c>
      <c r="H237" s="24" t="s">
        <v>704</v>
      </c>
    </row>
    <row r="238" spans="1:8" ht="21.6" customHeight="1">
      <c r="A238" s="23">
        <v>243</v>
      </c>
      <c r="F238" s="22" t="s">
        <v>702</v>
      </c>
      <c r="G238" s="24" t="str">
        <f t="shared" si="17"/>
        <v>pptApp.CommandBars.ExecuteMso("")                ;</v>
      </c>
      <c r="H238" s="24" t="s">
        <v>704</v>
      </c>
    </row>
    <row r="239" spans="1:8" ht="21.6" customHeight="1">
      <c r="A239" s="23">
        <v>244</v>
      </c>
      <c r="F239" s="22" t="s">
        <v>702</v>
      </c>
      <c r="G239" s="24" t="str">
        <f t="shared" si="17"/>
        <v>pptApp.CommandBars.ExecuteMso("")                ;</v>
      </c>
      <c r="H239" s="24" t="s">
        <v>704</v>
      </c>
    </row>
    <row r="240" spans="1:8" ht="21.6" customHeight="1">
      <c r="A240" s="23">
        <v>245</v>
      </c>
      <c r="F240" s="22" t="s">
        <v>702</v>
      </c>
      <c r="G240" s="24" t="str">
        <f t="shared" si="17"/>
        <v>pptApp.CommandBars.ExecuteMso("")                ;</v>
      </c>
      <c r="H240" s="24" t="s">
        <v>704</v>
      </c>
    </row>
    <row r="241" spans="1:8" ht="21.6" customHeight="1">
      <c r="A241" s="23">
        <v>246</v>
      </c>
      <c r="F241" s="22" t="s">
        <v>702</v>
      </c>
      <c r="G241" s="24" t="str">
        <f t="shared" si="17"/>
        <v>pptApp.CommandBars.ExecuteMso("")                ;</v>
      </c>
      <c r="H241" s="24" t="s">
        <v>704</v>
      </c>
    </row>
    <row r="242" spans="1:8" ht="21.6" customHeight="1">
      <c r="A242" s="23">
        <v>247</v>
      </c>
      <c r="F242" s="22" t="s">
        <v>702</v>
      </c>
      <c r="G242" s="24" t="str">
        <f t="shared" si="17"/>
        <v>pptApp.CommandBars.ExecuteMso("")                ;</v>
      </c>
      <c r="H242" s="24" t="s">
        <v>704</v>
      </c>
    </row>
    <row r="243" spans="1:8" ht="21.6" customHeight="1">
      <c r="A243" s="23">
        <v>248</v>
      </c>
      <c r="F243" s="22" t="s">
        <v>702</v>
      </c>
      <c r="G243" s="24" t="str">
        <f t="shared" si="17"/>
        <v>pptApp.CommandBars.ExecuteMso("")                ;</v>
      </c>
      <c r="H243" s="24" t="s">
        <v>704</v>
      </c>
    </row>
    <row r="244" spans="1:8" ht="21.6" customHeight="1">
      <c r="A244" s="23">
        <v>249</v>
      </c>
      <c r="F244" s="22" t="s">
        <v>702</v>
      </c>
      <c r="G244" s="24" t="str">
        <f t="shared" si="17"/>
        <v>pptApp.CommandBars.ExecuteMso("")                ;</v>
      </c>
      <c r="H244" s="24" t="s">
        <v>704</v>
      </c>
    </row>
    <row r="245" spans="1:8" ht="21.6" customHeight="1">
      <c r="A245" s="23">
        <v>250</v>
      </c>
      <c r="F245" s="22" t="s">
        <v>702</v>
      </c>
      <c r="G245" s="24" t="str">
        <f t="shared" si="17"/>
        <v>pptApp.CommandBars.ExecuteMso("")                ;</v>
      </c>
      <c r="H245" s="24" t="s">
        <v>704</v>
      </c>
    </row>
    <row r="246" spans="1:8" ht="21.6" customHeight="1">
      <c r="A246" s="23">
        <v>251</v>
      </c>
      <c r="F246" s="22" t="s">
        <v>702</v>
      </c>
      <c r="G246" s="24" t="str">
        <f t="shared" si="17"/>
        <v>pptApp.CommandBars.ExecuteMso("")                ;</v>
      </c>
      <c r="H246" s="24" t="s">
        <v>704</v>
      </c>
    </row>
    <row r="247" spans="1:8" ht="21.6" customHeight="1">
      <c r="A247" s="23">
        <v>252</v>
      </c>
      <c r="F247" s="22" t="s">
        <v>702</v>
      </c>
      <c r="G247" s="24" t="str">
        <f t="shared" si="17"/>
        <v>pptApp.CommandBars.ExecuteMso("")                ;</v>
      </c>
      <c r="H247" s="24" t="s">
        <v>704</v>
      </c>
    </row>
    <row r="248" spans="1:8" ht="21.6" customHeight="1">
      <c r="A248" s="23">
        <v>253</v>
      </c>
      <c r="F248" s="22" t="s">
        <v>702</v>
      </c>
      <c r="G248" s="24" t="str">
        <f t="shared" si="17"/>
        <v>pptApp.CommandBars.ExecuteMso("")                ;</v>
      </c>
      <c r="H248" s="24" t="s">
        <v>704</v>
      </c>
    </row>
    <row r="249" spans="1:8" ht="21.6" customHeight="1">
      <c r="A249" s="23">
        <v>254</v>
      </c>
      <c r="F249" s="22" t="s">
        <v>702</v>
      </c>
      <c r="G249" s="24" t="str">
        <f t="shared" si="17"/>
        <v>pptApp.CommandBars.ExecuteMso("")                ;</v>
      </c>
      <c r="H249" s="24" t="s">
        <v>704</v>
      </c>
    </row>
    <row r="250" spans="1:8" ht="21.6" customHeight="1">
      <c r="A250" s="23">
        <v>255</v>
      </c>
      <c r="F250" s="22" t="s">
        <v>702</v>
      </c>
      <c r="G250" s="24" t="str">
        <f t="shared" si="17"/>
        <v>pptApp.CommandBars.ExecuteMso("")                ;</v>
      </c>
      <c r="H250" s="24" t="s">
        <v>704</v>
      </c>
    </row>
    <row r="251" spans="1:8" ht="21.6" customHeight="1">
      <c r="A251" s="23">
        <v>256</v>
      </c>
      <c r="F251" s="22" t="s">
        <v>702</v>
      </c>
      <c r="G251" s="24" t="str">
        <f t="shared" si="17"/>
        <v>pptApp.CommandBars.ExecuteMso("")                ;</v>
      </c>
      <c r="H251" s="24" t="s">
        <v>704</v>
      </c>
    </row>
    <row r="252" spans="1:8" ht="21.6" customHeight="1">
      <c r="A252" s="23">
        <v>257</v>
      </c>
      <c r="F252" s="22" t="s">
        <v>702</v>
      </c>
      <c r="G252" s="24" t="str">
        <f t="shared" si="17"/>
        <v>pptApp.CommandBars.ExecuteMso("")                ;</v>
      </c>
      <c r="H252" s="24" t="s">
        <v>704</v>
      </c>
    </row>
    <row r="253" spans="1:8" ht="21.6" customHeight="1">
      <c r="A253" s="23">
        <v>258</v>
      </c>
      <c r="F253" s="22" t="s">
        <v>702</v>
      </c>
      <c r="G253" s="24" t="str">
        <f t="shared" si="17"/>
        <v>pptApp.CommandBars.ExecuteMso("")                ;</v>
      </c>
      <c r="H253" s="24" t="s">
        <v>704</v>
      </c>
    </row>
    <row r="254" spans="1:8" ht="21.6" customHeight="1">
      <c r="A254" s="23">
        <v>259</v>
      </c>
      <c r="F254" s="22" t="s">
        <v>702</v>
      </c>
      <c r="G254" s="24" t="str">
        <f t="shared" si="17"/>
        <v>pptApp.CommandBars.ExecuteMso("")                ;</v>
      </c>
      <c r="H254" s="24" t="s">
        <v>704</v>
      </c>
    </row>
    <row r="255" spans="1:8" ht="21.6" customHeight="1">
      <c r="A255" s="23">
        <v>260</v>
      </c>
      <c r="F255" s="22" t="s">
        <v>702</v>
      </c>
      <c r="G255" s="24" t="str">
        <f t="shared" si="17"/>
        <v>pptApp.CommandBars.ExecuteMso("")                ;</v>
      </c>
      <c r="H255" s="24" t="s">
        <v>704</v>
      </c>
    </row>
    <row r="256" spans="1:8" ht="21.6" customHeight="1">
      <c r="A256" s="23">
        <v>261</v>
      </c>
      <c r="F256" s="22" t="s">
        <v>702</v>
      </c>
      <c r="G256" s="24" t="str">
        <f t="shared" si="17"/>
        <v>pptApp.CommandBars.ExecuteMso("")                ;</v>
      </c>
      <c r="H256" s="24" t="s">
        <v>704</v>
      </c>
    </row>
    <row r="257" spans="1:8" ht="21.6" customHeight="1">
      <c r="A257" s="23">
        <v>262</v>
      </c>
      <c r="F257" s="22" t="s">
        <v>702</v>
      </c>
      <c r="G257" s="24" t="str">
        <f t="shared" si="17"/>
        <v>pptApp.CommandBars.ExecuteMso("")                ;</v>
      </c>
      <c r="H257" s="24" t="s">
        <v>704</v>
      </c>
    </row>
    <row r="258" spans="1:8" ht="21.6" customHeight="1">
      <c r="A258" s="23">
        <v>263</v>
      </c>
      <c r="F258" s="22" t="s">
        <v>702</v>
      </c>
      <c r="H258" s="24" t="s">
        <v>704</v>
      </c>
    </row>
    <row r="259" spans="1:8" ht="21.6" customHeight="1">
      <c r="A259" s="23">
        <v>264</v>
      </c>
      <c r="F259" s="22" t="s">
        <v>702</v>
      </c>
      <c r="H259" s="24" t="s">
        <v>704</v>
      </c>
    </row>
    <row r="260" spans="1:8" ht="21.6" customHeight="1">
      <c r="A260" s="23">
        <v>265</v>
      </c>
      <c r="F260" s="22" t="s">
        <v>702</v>
      </c>
      <c r="H260" s="24" t="s">
        <v>704</v>
      </c>
    </row>
    <row r="261" spans="1:8" ht="21.6" customHeight="1">
      <c r="A261" s="23">
        <v>266</v>
      </c>
      <c r="F261" s="22" t="s">
        <v>702</v>
      </c>
      <c r="H261" s="24" t="s">
        <v>704</v>
      </c>
    </row>
    <row r="262" spans="1:8" ht="21.6" customHeight="1">
      <c r="A262" s="23">
        <v>267</v>
      </c>
      <c r="F262" s="22" t="s">
        <v>702</v>
      </c>
      <c r="H262" s="24" t="s">
        <v>704</v>
      </c>
    </row>
    <row r="263" spans="1:8" ht="21.6" customHeight="1">
      <c r="A263" s="23">
        <v>268</v>
      </c>
      <c r="F263" s="22" t="s">
        <v>702</v>
      </c>
      <c r="H263" s="24" t="s">
        <v>704</v>
      </c>
    </row>
    <row r="264" spans="1:8" ht="21.6" customHeight="1">
      <c r="A264" s="23">
        <v>269</v>
      </c>
      <c r="F264" s="22" t="s">
        <v>702</v>
      </c>
      <c r="H264" s="24" t="s">
        <v>704</v>
      </c>
    </row>
    <row r="265" spans="1:8" ht="21.6" customHeight="1">
      <c r="A265" s="23">
        <v>270</v>
      </c>
      <c r="F265" s="22" t="s">
        <v>702</v>
      </c>
      <c r="H265" s="24" t="s">
        <v>704</v>
      </c>
    </row>
    <row r="266" spans="1:8" ht="21.6" customHeight="1">
      <c r="A266" s="23">
        <v>271</v>
      </c>
      <c r="F266" s="22" t="s">
        <v>702</v>
      </c>
      <c r="H266" s="24" t="s">
        <v>704</v>
      </c>
    </row>
    <row r="267" spans="1:8" ht="21.6" customHeight="1">
      <c r="A267" s="23">
        <v>272</v>
      </c>
      <c r="H267" s="24" t="s">
        <v>704</v>
      </c>
    </row>
    <row r="268" spans="1:8" ht="21.6" customHeight="1">
      <c r="A268" s="23">
        <v>273</v>
      </c>
      <c r="H268" s="24" t="s">
        <v>704</v>
      </c>
    </row>
    <row r="269" spans="1:8" ht="21.6" customHeight="1">
      <c r="A269" s="23">
        <v>274</v>
      </c>
      <c r="H269" s="24" t="s">
        <v>704</v>
      </c>
    </row>
    <row r="270" spans="1:8" ht="21.6" customHeight="1">
      <c r="A270" s="23">
        <v>275</v>
      </c>
      <c r="H270" s="24" t="s">
        <v>704</v>
      </c>
    </row>
    <row r="271" spans="1:8" ht="21.6" customHeight="1">
      <c r="A271" s="23">
        <v>276</v>
      </c>
      <c r="H271" s="24" t="s">
        <v>704</v>
      </c>
    </row>
    <row r="272" spans="1:8" ht="21.6" customHeight="1">
      <c r="A272" s="23">
        <v>277</v>
      </c>
      <c r="H272" s="24" t="s">
        <v>704</v>
      </c>
    </row>
    <row r="273" spans="1:8" ht="21.6" customHeight="1">
      <c r="A273" s="23">
        <v>278</v>
      </c>
      <c r="H273" s="24" t="s">
        <v>704</v>
      </c>
    </row>
    <row r="274" spans="1:8" ht="21.6" customHeight="1">
      <c r="A274" s="23">
        <v>279</v>
      </c>
      <c r="H274" s="24" t="s">
        <v>704</v>
      </c>
    </row>
    <row r="275" spans="1:8" ht="21.6" customHeight="1">
      <c r="A275" s="23">
        <v>280</v>
      </c>
    </row>
    <row r="276" spans="1:8" ht="21.6" customHeight="1">
      <c r="A276" s="23">
        <v>281</v>
      </c>
    </row>
    <row r="277" spans="1:8" ht="21.6" customHeight="1">
      <c r="A277" s="23">
        <v>282</v>
      </c>
    </row>
    <row r="278" spans="1:8" ht="21.6" customHeight="1">
      <c r="A278" s="23">
        <v>283</v>
      </c>
    </row>
    <row r="279" spans="1:8" ht="21.6" customHeight="1">
      <c r="A279" s="23">
        <v>284</v>
      </c>
    </row>
    <row r="280" spans="1:8" ht="21.6" customHeight="1">
      <c r="A280" s="23">
        <v>285</v>
      </c>
    </row>
    <row r="281" spans="1:8" ht="21.6" customHeight="1">
      <c r="A281" s="23">
        <v>286</v>
      </c>
    </row>
    <row r="282" spans="1:8" ht="21.6" customHeight="1">
      <c r="A282" s="23">
        <v>287</v>
      </c>
    </row>
    <row r="283" spans="1:8" ht="21.6" customHeight="1">
      <c r="A283" s="23">
        <v>288</v>
      </c>
    </row>
    <row r="284" spans="1:8" ht="21.6" customHeight="1">
      <c r="A284" s="23">
        <v>289</v>
      </c>
    </row>
    <row r="285" spans="1:8" ht="21.6" customHeight="1">
      <c r="A285" s="23">
        <v>290</v>
      </c>
    </row>
    <row r="286" spans="1:8" ht="21.6" customHeight="1">
      <c r="A286" s="23">
        <v>291</v>
      </c>
    </row>
    <row r="287" spans="1:8" ht="21.6" customHeight="1">
      <c r="A287" s="23">
        <v>292</v>
      </c>
    </row>
    <row r="288" spans="1:8" ht="21.6" customHeight="1">
      <c r="A288" s="23">
        <v>293</v>
      </c>
    </row>
    <row r="289" spans="1:1" ht="21.6" customHeight="1">
      <c r="A289" s="23">
        <v>294</v>
      </c>
    </row>
    <row r="290" spans="1:1" ht="21.6" customHeight="1">
      <c r="A290" s="23">
        <v>295</v>
      </c>
    </row>
    <row r="291" spans="1:1" ht="21.6" customHeight="1">
      <c r="A291" s="23">
        <v>296</v>
      </c>
    </row>
    <row r="292" spans="1:1" ht="21.6" customHeight="1">
      <c r="A292" s="23">
        <v>297</v>
      </c>
    </row>
  </sheetData>
  <phoneticPr fontId="2" type="noConversion"/>
  <conditionalFormatting sqref="A7:XFD11">
    <cfRule type="expression" dxfId="0" priority="1">
      <formula>MOD(ROW(), 10) &lt; 5</formula>
    </cfRule>
  </conditionalFormatting>
  <pageMargins left="0.7" right="0.7" top="0.75" bottom="0.75" header="0.3" footer="0.3"/>
  <pageSetup paperSize="9"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99AC-9094-4EBF-87F4-AC02E554B8AB}">
  <sheetPr codeName="Sheet18"/>
  <dimension ref="A1:F43"/>
  <sheetViews>
    <sheetView showGridLines="0" zoomScaleNormal="100" workbookViewId="0">
      <pane ySplit="1" topLeftCell="A2" activePane="bottomLeft" state="frozen"/>
      <selection activeCell="C1" sqref="C1"/>
      <selection pane="bottomLeft" activeCell="E13" sqref="E13"/>
    </sheetView>
  </sheetViews>
  <sheetFormatPr defaultColWidth="36.44140625" defaultRowHeight="21.6" customHeight="1"/>
  <cols>
    <col min="1" max="16384" width="36.44140625" style="113"/>
  </cols>
  <sheetData>
    <row r="1" spans="1:6" s="112" customFormat="1" ht="21.6" customHeight="1">
      <c r="A1" s="111" t="s">
        <v>2002</v>
      </c>
      <c r="B1" s="111" t="s">
        <v>2003</v>
      </c>
      <c r="C1" s="111" t="s">
        <v>2004</v>
      </c>
      <c r="D1" s="111"/>
      <c r="E1" s="111"/>
      <c r="F1" s="111"/>
    </row>
    <row r="2" spans="1:6" ht="21.6" customHeight="1">
      <c r="A2" s="113" t="s">
        <v>2037</v>
      </c>
    </row>
    <row r="3" spans="1:6" ht="21.6" customHeight="1">
      <c r="A3" s="113" t="s">
        <v>2013</v>
      </c>
    </row>
    <row r="4" spans="1:6" ht="21.6" customHeight="1">
      <c r="A4" s="113" t="s">
        <v>2014</v>
      </c>
    </row>
    <row r="5" spans="1:6" ht="21.6" customHeight="1">
      <c r="A5" s="113" t="s">
        <v>2015</v>
      </c>
    </row>
    <row r="7" spans="1:6" ht="21.6" customHeight="1">
      <c r="A7" s="113" t="s">
        <v>2005</v>
      </c>
    </row>
    <row r="8" spans="1:6" ht="21.6" customHeight="1">
      <c r="A8" s="113" t="s">
        <v>2016</v>
      </c>
    </row>
    <row r="9" spans="1:6" ht="21.6" customHeight="1">
      <c r="A9" s="113" t="s">
        <v>2017</v>
      </c>
    </row>
    <row r="10" spans="1:6" ht="21.6" customHeight="1">
      <c r="A10" s="113" t="s">
        <v>2018</v>
      </c>
    </row>
    <row r="11" spans="1:6" ht="21.6" customHeight="1">
      <c r="A11" s="113" t="s">
        <v>2019</v>
      </c>
      <c r="B11" s="113" t="s">
        <v>2019</v>
      </c>
      <c r="C11" s="113" t="s">
        <v>2024</v>
      </c>
    </row>
    <row r="12" spans="1:6" ht="21.6" customHeight="1">
      <c r="A12" s="113" t="s">
        <v>2024</v>
      </c>
      <c r="B12" s="113" t="s">
        <v>2045</v>
      </c>
      <c r="C12" s="113" t="s">
        <v>2044</v>
      </c>
    </row>
    <row r="13" spans="1:6" ht="21.6" customHeight="1">
      <c r="A13" s="113" t="s">
        <v>2020</v>
      </c>
      <c r="B13" s="113" t="s">
        <v>2046</v>
      </c>
      <c r="C13" s="113" t="s">
        <v>2047</v>
      </c>
    </row>
    <row r="14" spans="1:6" ht="21.6" customHeight="1">
      <c r="A14" s="113" t="s">
        <v>2021</v>
      </c>
      <c r="B14" s="113" t="s">
        <v>2007</v>
      </c>
      <c r="C14" s="113" t="s">
        <v>2006</v>
      </c>
    </row>
    <row r="15" spans="1:6" ht="21.6" customHeight="1">
      <c r="A15" s="113" t="s">
        <v>2022</v>
      </c>
      <c r="B15" s="113" t="s">
        <v>2043</v>
      </c>
      <c r="C15" s="113" t="s">
        <v>2039</v>
      </c>
    </row>
    <row r="16" spans="1:6" ht="21.6" customHeight="1">
      <c r="A16" s="113" t="s">
        <v>2023</v>
      </c>
      <c r="B16" s="113" t="s">
        <v>2040</v>
      </c>
      <c r="C16" s="113" t="s">
        <v>2041</v>
      </c>
    </row>
    <row r="17" spans="1:1" ht="21.6" customHeight="1">
      <c r="A17" s="113" t="s">
        <v>2006</v>
      </c>
    </row>
    <row r="18" spans="1:1" ht="21.6" customHeight="1">
      <c r="A18" s="113" t="s">
        <v>2007</v>
      </c>
    </row>
    <row r="19" spans="1:1" ht="21.6" customHeight="1">
      <c r="A19" s="113" t="s">
        <v>2038</v>
      </c>
    </row>
    <row r="20" spans="1:1" ht="21.6" customHeight="1">
      <c r="A20" s="113" t="s">
        <v>2039</v>
      </c>
    </row>
    <row r="21" spans="1:1" ht="21.6" customHeight="1">
      <c r="A21" s="113" t="s">
        <v>2040</v>
      </c>
    </row>
    <row r="22" spans="1:1" ht="21.6" customHeight="1">
      <c r="A22" s="113" t="s">
        <v>2041</v>
      </c>
    </row>
    <row r="25" spans="1:1" ht="21.6" customHeight="1">
      <c r="A25" s="113" t="s">
        <v>2025</v>
      </c>
    </row>
    <row r="26" spans="1:1" ht="21.6" customHeight="1">
      <c r="A26" s="113" t="s">
        <v>2026</v>
      </c>
    </row>
    <row r="27" spans="1:1" ht="21.6" customHeight="1">
      <c r="A27" s="113" t="s">
        <v>2027</v>
      </c>
    </row>
    <row r="28" spans="1:1" ht="21.6" customHeight="1">
      <c r="A28" s="113" t="s">
        <v>2028</v>
      </c>
    </row>
    <row r="29" spans="1:1" ht="21.6" customHeight="1">
      <c r="A29" s="113" t="s">
        <v>2029</v>
      </c>
    </row>
    <row r="30" spans="1:1" ht="21.6" customHeight="1">
      <c r="A30" s="113" t="s">
        <v>2030</v>
      </c>
    </row>
    <row r="32" spans="1:1" ht="21.6" customHeight="1">
      <c r="A32" s="113" t="s">
        <v>2031</v>
      </c>
    </row>
    <row r="33" spans="1:1" ht="21.6" customHeight="1">
      <c r="A33" s="113" t="s">
        <v>2008</v>
      </c>
    </row>
    <row r="34" spans="1:1" ht="21.6" customHeight="1">
      <c r="A34" s="113" t="s">
        <v>2009</v>
      </c>
    </row>
    <row r="35" spans="1:1" ht="21.6" customHeight="1">
      <c r="A35" s="113" t="s">
        <v>2010</v>
      </c>
    </row>
    <row r="36" spans="1:1" ht="21.6" customHeight="1">
      <c r="A36" s="113" t="s">
        <v>2011</v>
      </c>
    </row>
    <row r="37" spans="1:1" ht="21.6" customHeight="1">
      <c r="A37" s="113" t="s">
        <v>2032</v>
      </c>
    </row>
    <row r="38" spans="1:1" ht="21.6" customHeight="1">
      <c r="A38" s="113" t="s">
        <v>2033</v>
      </c>
    </row>
    <row r="39" spans="1:1" ht="21.6" customHeight="1">
      <c r="A39" s="113" t="s">
        <v>2034</v>
      </c>
    </row>
    <row r="41" spans="1:1" ht="21.6" customHeight="1">
      <c r="A41" s="113" t="s">
        <v>2035</v>
      </c>
    </row>
    <row r="42" spans="1:1" ht="21.6" customHeight="1">
      <c r="A42" s="113" t="s">
        <v>2036</v>
      </c>
    </row>
    <row r="43" spans="1:1" ht="21.6" customHeight="1">
      <c r="A43" s="113" t="s">
        <v>2012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CA72-17A5-482C-A071-750ECE51002F}">
  <sheetPr codeName="Sheet3"/>
  <dimension ref="A1:W52"/>
  <sheetViews>
    <sheetView showGridLines="0" zoomScaleNormal="100" workbookViewId="0">
      <pane ySplit="1" topLeftCell="A2" activePane="bottomLeft" state="frozen"/>
      <selection activeCell="C1" sqref="C1"/>
      <selection pane="bottomLeft" activeCell="K16" sqref="K16"/>
    </sheetView>
  </sheetViews>
  <sheetFormatPr defaultColWidth="8.88671875" defaultRowHeight="21.6" customHeight="1"/>
  <cols>
    <col min="1" max="1" width="5.77734375" style="90" customWidth="1"/>
    <col min="2" max="2" width="24" style="90" customWidth="1"/>
    <col min="3" max="3" width="25.109375" style="90" customWidth="1"/>
    <col min="4" max="4" width="19.44140625" style="90" customWidth="1"/>
    <col min="5" max="5" width="22.44140625" style="90" customWidth="1"/>
    <col min="6" max="6" width="29.109375" style="90" customWidth="1"/>
    <col min="7" max="7" width="23" style="90" customWidth="1"/>
    <col min="8" max="8" width="19.44140625" style="90" customWidth="1"/>
    <col min="9" max="9" width="32.33203125" style="90" customWidth="1"/>
    <col min="10" max="16384" width="8.88671875" style="90"/>
  </cols>
  <sheetData>
    <row r="1" spans="1:9" s="85" customFormat="1" ht="21.6" customHeight="1">
      <c r="A1" s="83" t="s">
        <v>899</v>
      </c>
      <c r="B1" s="84" t="s">
        <v>1512</v>
      </c>
      <c r="C1" s="84" t="s">
        <v>2113</v>
      </c>
      <c r="D1" s="84" t="s">
        <v>2048</v>
      </c>
      <c r="E1" s="84" t="s">
        <v>2053</v>
      </c>
      <c r="F1" s="84" t="s">
        <v>2054</v>
      </c>
      <c r="G1" s="84" t="s">
        <v>2052</v>
      </c>
      <c r="H1" s="84" t="s">
        <v>1954</v>
      </c>
    </row>
    <row r="2" spans="1:9" ht="21.6" customHeight="1">
      <c r="A2" s="86" t="s">
        <v>1030</v>
      </c>
      <c r="B2" s="87"/>
      <c r="C2" s="87"/>
      <c r="D2" s="89"/>
      <c r="E2" s="87"/>
      <c r="F2" s="88" t="s">
        <v>1030</v>
      </c>
      <c r="H2" s="87"/>
      <c r="I2" s="87"/>
    </row>
    <row r="3" spans="1:9" ht="21.6" customHeight="1">
      <c r="A3" s="86" t="s">
        <v>1379</v>
      </c>
      <c r="B3" s="88" t="s">
        <v>2124</v>
      </c>
      <c r="C3" s="87"/>
      <c r="D3" s="89"/>
      <c r="E3" s="87"/>
      <c r="F3" s="89"/>
      <c r="G3" s="89"/>
      <c r="H3" s="87"/>
      <c r="I3" s="87"/>
    </row>
    <row r="4" spans="1:9" ht="21.6" customHeight="1">
      <c r="A4" s="86">
        <v>1</v>
      </c>
      <c r="B4" s="87" t="s">
        <v>1516</v>
      </c>
      <c r="C4" s="87"/>
      <c r="D4" s="87" t="s">
        <v>2082</v>
      </c>
      <c r="E4" s="91" t="s">
        <v>1941</v>
      </c>
      <c r="F4" s="89"/>
      <c r="G4" s="89"/>
      <c r="H4" s="87" t="s">
        <v>2111</v>
      </c>
      <c r="I4" s="87"/>
    </row>
    <row r="5" spans="1:9" ht="21.6" customHeight="1">
      <c r="A5" s="86">
        <v>2</v>
      </c>
      <c r="B5" s="87" t="s">
        <v>1517</v>
      </c>
      <c r="C5" s="87"/>
      <c r="D5" s="87" t="s">
        <v>2083</v>
      </c>
      <c r="E5" s="91" t="s">
        <v>1484</v>
      </c>
      <c r="F5" s="89"/>
      <c r="G5" s="87"/>
      <c r="H5" s="87"/>
      <c r="I5" s="87" t="s">
        <v>1955</v>
      </c>
    </row>
    <row r="6" spans="1:9" ht="21.6" customHeight="1">
      <c r="A6" s="86">
        <v>3</v>
      </c>
      <c r="B6" s="87" t="s">
        <v>2082</v>
      </c>
      <c r="C6" s="87"/>
      <c r="D6" s="88" t="s">
        <v>1942</v>
      </c>
      <c r="E6" s="91" t="s">
        <v>2125</v>
      </c>
      <c r="F6" s="88"/>
      <c r="G6" s="87"/>
      <c r="H6" s="87" t="s">
        <v>1518</v>
      </c>
      <c r="I6" s="87" t="s">
        <v>1956</v>
      </c>
    </row>
    <row r="7" spans="1:9" ht="21.6" customHeight="1">
      <c r="A7" s="86">
        <v>4</v>
      </c>
      <c r="B7" s="87" t="s">
        <v>2083</v>
      </c>
      <c r="C7" s="87"/>
      <c r="D7" s="89"/>
      <c r="E7" s="88"/>
      <c r="F7" s="88"/>
      <c r="G7" s="87"/>
      <c r="H7" s="118" t="s">
        <v>1519</v>
      </c>
      <c r="I7" s="87" t="s">
        <v>1957</v>
      </c>
    </row>
    <row r="8" spans="1:9" ht="21.6" customHeight="1">
      <c r="A8" s="86">
        <v>5</v>
      </c>
      <c r="B8" s="87"/>
      <c r="C8" s="87"/>
      <c r="D8" s="89"/>
      <c r="E8" s="88"/>
      <c r="F8" s="88" t="s">
        <v>2085</v>
      </c>
      <c r="G8" s="89"/>
      <c r="H8" s="87"/>
      <c r="I8" s="118" t="s">
        <v>1958</v>
      </c>
    </row>
    <row r="9" spans="1:9" ht="21.6" customHeight="1">
      <c r="A9" s="86">
        <v>6</v>
      </c>
      <c r="B9" s="87"/>
      <c r="C9" s="87"/>
      <c r="D9" s="89"/>
      <c r="E9" s="88"/>
      <c r="F9" s="88"/>
      <c r="G9" s="89"/>
      <c r="H9" s="87"/>
      <c r="I9" s="87"/>
    </row>
    <row r="10" spans="1:9" ht="21.6" customHeight="1">
      <c r="A10" s="86">
        <v>7</v>
      </c>
      <c r="B10" s="87"/>
      <c r="C10" s="87"/>
      <c r="D10" s="118"/>
      <c r="E10" s="118"/>
      <c r="F10" s="118" t="s">
        <v>1030</v>
      </c>
      <c r="G10" s="89" t="s">
        <v>2055</v>
      </c>
      <c r="H10" s="87"/>
      <c r="I10" s="87"/>
    </row>
    <row r="11" spans="1:9" ht="21.6" customHeight="1">
      <c r="A11" s="86">
        <v>8</v>
      </c>
      <c r="B11" s="87"/>
      <c r="C11" s="87"/>
      <c r="D11" s="89"/>
      <c r="E11" s="88"/>
      <c r="F11" s="88"/>
      <c r="G11" s="88"/>
      <c r="H11" s="87"/>
      <c r="I11" s="87"/>
    </row>
    <row r="12" spans="1:9" ht="21.6" customHeight="1">
      <c r="A12" s="86">
        <v>9</v>
      </c>
      <c r="B12" s="87"/>
      <c r="C12" s="87"/>
      <c r="D12" s="89"/>
      <c r="E12" s="88"/>
      <c r="F12" s="88"/>
      <c r="G12" s="88" t="s">
        <v>2118</v>
      </c>
      <c r="H12" s="87"/>
      <c r="I12" s="118" t="s">
        <v>1030</v>
      </c>
    </row>
    <row r="13" spans="1:9" s="123" customFormat="1" ht="14.25" customHeight="1">
      <c r="A13" s="120"/>
      <c r="D13" s="122"/>
      <c r="E13" s="118"/>
      <c r="F13" s="118"/>
      <c r="G13" s="118"/>
      <c r="I13" s="119"/>
    </row>
    <row r="14" spans="1:9" ht="21.6" customHeight="1">
      <c r="A14" s="86" t="s">
        <v>2072</v>
      </c>
      <c r="B14" s="94" t="s">
        <v>2116</v>
      </c>
      <c r="C14" s="87"/>
      <c r="D14" s="89"/>
      <c r="E14" s="88" t="s">
        <v>1337</v>
      </c>
      <c r="F14" s="88" t="s">
        <v>2085</v>
      </c>
      <c r="G14" s="88"/>
      <c r="I14" s="88" t="s">
        <v>1030</v>
      </c>
    </row>
    <row r="15" spans="1:9" ht="21.6" customHeight="1">
      <c r="A15" s="86" t="s">
        <v>2073</v>
      </c>
      <c r="B15" s="88" t="s">
        <v>1511</v>
      </c>
      <c r="C15" s="88" t="s">
        <v>1940</v>
      </c>
      <c r="D15" s="89"/>
      <c r="E15" s="88" t="s">
        <v>1338</v>
      </c>
      <c r="F15" s="88"/>
      <c r="G15" s="88" t="s">
        <v>2118</v>
      </c>
      <c r="I15" s="88" t="s">
        <v>2118</v>
      </c>
    </row>
    <row r="16" spans="1:9" ht="21.6" customHeight="1">
      <c r="A16" s="86" t="s">
        <v>2074</v>
      </c>
      <c r="B16" s="88" t="s">
        <v>1510</v>
      </c>
      <c r="C16" s="87" t="s">
        <v>2126</v>
      </c>
      <c r="D16" s="88" t="s">
        <v>1030</v>
      </c>
      <c r="E16" s="88" t="s">
        <v>1336</v>
      </c>
      <c r="F16" s="88"/>
      <c r="G16" s="88" t="s">
        <v>2118</v>
      </c>
      <c r="I16" s="88" t="s">
        <v>1030</v>
      </c>
    </row>
    <row r="17" spans="1:12" ht="21.6" customHeight="1">
      <c r="A17" s="86" t="s">
        <v>2075</v>
      </c>
      <c r="B17" s="88" t="s">
        <v>2114</v>
      </c>
      <c r="C17" s="88" t="s">
        <v>2115</v>
      </c>
      <c r="D17" s="89"/>
      <c r="E17" s="118" t="s">
        <v>1339</v>
      </c>
      <c r="F17" s="88"/>
      <c r="G17" s="118" t="s">
        <v>1339</v>
      </c>
      <c r="I17" s="88" t="s">
        <v>2118</v>
      </c>
      <c r="L17" s="90">
        <v>55</v>
      </c>
    </row>
    <row r="18" spans="1:12" ht="21.6" customHeight="1">
      <c r="A18" s="86" t="s">
        <v>2076</v>
      </c>
      <c r="B18" s="88" t="s">
        <v>2084</v>
      </c>
      <c r="C18" s="88" t="s">
        <v>33</v>
      </c>
      <c r="D18" s="89"/>
      <c r="E18" s="88"/>
      <c r="F18" s="88"/>
      <c r="G18" s="88" t="s">
        <v>2118</v>
      </c>
      <c r="I18" s="88" t="s">
        <v>1524</v>
      </c>
    </row>
    <row r="19" spans="1:12" ht="21.6" customHeight="1">
      <c r="A19" s="86" t="s">
        <v>2077</v>
      </c>
      <c r="B19" s="88"/>
      <c r="C19" s="88"/>
      <c r="D19" s="89"/>
      <c r="E19" s="88"/>
      <c r="F19" s="88"/>
      <c r="G19" s="118" t="s">
        <v>1339</v>
      </c>
      <c r="I19" s="88" t="s">
        <v>1030</v>
      </c>
      <c r="L19" s="90">
        <v>66</v>
      </c>
    </row>
    <row r="20" spans="1:12" ht="21.6" customHeight="1">
      <c r="A20" s="86" t="s">
        <v>2078</v>
      </c>
      <c r="B20" s="94"/>
      <c r="C20" s="87"/>
      <c r="D20" s="89"/>
      <c r="E20" s="88" t="s">
        <v>2118</v>
      </c>
      <c r="F20" s="88" t="s">
        <v>2118</v>
      </c>
      <c r="G20" s="88" t="s">
        <v>1339</v>
      </c>
      <c r="I20" s="88" t="s">
        <v>1450</v>
      </c>
    </row>
    <row r="21" spans="1:12" ht="21.6" customHeight="1">
      <c r="A21" s="86" t="s">
        <v>2079</v>
      </c>
      <c r="B21" s="94"/>
      <c r="C21" s="87"/>
      <c r="D21" s="89"/>
      <c r="E21" s="88"/>
      <c r="F21" s="88" t="s">
        <v>2118</v>
      </c>
      <c r="G21" s="88"/>
      <c r="I21" s="88" t="s">
        <v>2117</v>
      </c>
    </row>
    <row r="22" spans="1:12" ht="21.6" customHeight="1">
      <c r="A22" s="86" t="s">
        <v>2081</v>
      </c>
      <c r="B22" s="94"/>
      <c r="C22" s="87"/>
      <c r="D22" s="89"/>
      <c r="E22" s="88"/>
      <c r="F22" s="88" t="s">
        <v>2118</v>
      </c>
      <c r="G22" s="88" t="s">
        <v>2118</v>
      </c>
      <c r="I22" s="88" t="s">
        <v>2118</v>
      </c>
    </row>
    <row r="23" spans="1:12" ht="21.6" customHeight="1">
      <c r="A23" s="86" t="s">
        <v>2080</v>
      </c>
      <c r="B23" s="94"/>
      <c r="C23" s="87"/>
      <c r="D23" s="89"/>
      <c r="E23" s="88"/>
      <c r="F23" s="88"/>
      <c r="G23" s="118"/>
      <c r="I23" s="87"/>
    </row>
    <row r="24" spans="1:12" s="123" customFormat="1" ht="11.25" customHeight="1">
      <c r="A24" s="120"/>
      <c r="B24" s="121"/>
      <c r="C24" s="122"/>
      <c r="D24" s="122"/>
      <c r="E24" s="118"/>
      <c r="F24" s="118"/>
      <c r="G24" s="118"/>
      <c r="I24" s="119"/>
    </row>
    <row r="25" spans="1:12" ht="21.6" customHeight="1">
      <c r="A25" s="86" t="s">
        <v>2056</v>
      </c>
      <c r="B25" s="94"/>
      <c r="C25" s="87"/>
      <c r="D25" s="89"/>
      <c r="E25" s="88"/>
      <c r="F25" s="88"/>
      <c r="G25" s="88"/>
      <c r="I25" s="88"/>
    </row>
    <row r="26" spans="1:12" ht="21.6" customHeight="1">
      <c r="A26" s="86" t="s">
        <v>2057</v>
      </c>
      <c r="B26" s="88" t="s">
        <v>1478</v>
      </c>
      <c r="C26" s="87"/>
      <c r="D26" s="88" t="s">
        <v>2051</v>
      </c>
      <c r="E26" s="88" t="s">
        <v>1380</v>
      </c>
      <c r="F26" s="88" t="s">
        <v>1478</v>
      </c>
      <c r="G26" s="88"/>
      <c r="I26" s="88"/>
    </row>
    <row r="27" spans="1:12" ht="21.6" customHeight="1">
      <c r="A27" s="86" t="s">
        <v>2058</v>
      </c>
      <c r="B27" s="88" t="s">
        <v>1479</v>
      </c>
      <c r="C27" s="87"/>
      <c r="D27" s="88" t="s">
        <v>2049</v>
      </c>
      <c r="E27" s="88" t="s">
        <v>1386</v>
      </c>
      <c r="F27" s="88" t="s">
        <v>1479</v>
      </c>
      <c r="G27" s="88"/>
      <c r="I27" s="88"/>
    </row>
    <row r="28" spans="1:12" ht="21.6" customHeight="1">
      <c r="A28" s="86" t="s">
        <v>2059</v>
      </c>
      <c r="B28" s="88" t="s">
        <v>1483</v>
      </c>
      <c r="C28" s="87"/>
      <c r="D28" s="88" t="s">
        <v>2050</v>
      </c>
      <c r="E28" s="88"/>
      <c r="F28" s="88" t="s">
        <v>1483</v>
      </c>
      <c r="G28" s="88"/>
      <c r="I28" s="88"/>
    </row>
    <row r="29" spans="1:12" ht="21.6" customHeight="1">
      <c r="A29" s="86" t="s">
        <v>2060</v>
      </c>
      <c r="B29" s="88" t="s">
        <v>1527</v>
      </c>
      <c r="C29" s="87"/>
      <c r="D29" s="124" t="s">
        <v>1952</v>
      </c>
      <c r="E29" s="88" t="s">
        <v>1341</v>
      </c>
      <c r="F29" s="88" t="s">
        <v>1480</v>
      </c>
      <c r="G29" s="87"/>
      <c r="H29" s="92" t="s">
        <v>1952</v>
      </c>
      <c r="I29" s="88"/>
    </row>
    <row r="30" spans="1:12" ht="21.6" customHeight="1">
      <c r="A30" s="86" t="s">
        <v>2061</v>
      </c>
      <c r="B30" s="87" t="s">
        <v>2124</v>
      </c>
      <c r="C30" s="88"/>
      <c r="D30" s="125" t="s">
        <v>1953</v>
      </c>
      <c r="E30" s="88"/>
      <c r="F30" s="125" t="s">
        <v>1953</v>
      </c>
      <c r="G30" s="88"/>
      <c r="H30" s="88" t="s">
        <v>1953</v>
      </c>
      <c r="I30" s="118"/>
    </row>
    <row r="31" spans="1:12" ht="21.6" customHeight="1">
      <c r="A31" s="86" t="s">
        <v>2062</v>
      </c>
      <c r="B31" s="94"/>
      <c r="C31" s="87"/>
      <c r="D31" s="89"/>
      <c r="E31" s="87" t="s">
        <v>2124</v>
      </c>
      <c r="F31" s="88"/>
      <c r="G31" s="87" t="s">
        <v>2124</v>
      </c>
      <c r="I31" s="87"/>
    </row>
    <row r="32" spans="1:12" ht="21.6" customHeight="1">
      <c r="A32" s="86" t="s">
        <v>2063</v>
      </c>
      <c r="B32" s="94"/>
      <c r="C32" s="87"/>
      <c r="D32" s="89"/>
      <c r="E32" s="88"/>
      <c r="F32" s="125" t="s">
        <v>1953</v>
      </c>
      <c r="G32" s="88"/>
      <c r="I32" s="87" t="s">
        <v>2124</v>
      </c>
    </row>
    <row r="33" spans="1:10" ht="21.6" customHeight="1">
      <c r="A33" s="86" t="s">
        <v>2064</v>
      </c>
      <c r="B33" s="94"/>
      <c r="C33" s="87"/>
      <c r="D33" s="89"/>
      <c r="E33" s="88"/>
      <c r="F33" s="88"/>
      <c r="G33" s="88"/>
      <c r="I33" s="87"/>
    </row>
    <row r="34" spans="1:10" s="123" customFormat="1" ht="11.25" customHeight="1">
      <c r="A34" s="120"/>
      <c r="B34" s="121"/>
      <c r="D34" s="122"/>
      <c r="E34" s="118"/>
      <c r="F34" s="118"/>
      <c r="G34" s="118"/>
      <c r="I34" s="88"/>
    </row>
    <row r="35" spans="1:10" ht="21.6" customHeight="1">
      <c r="A35" s="86" t="s">
        <v>2065</v>
      </c>
      <c r="B35" s="94" t="s">
        <v>2119</v>
      </c>
      <c r="C35" s="87"/>
      <c r="D35" s="89"/>
      <c r="E35" s="88"/>
      <c r="F35" s="88"/>
      <c r="G35" s="88"/>
      <c r="I35" s="87"/>
      <c r="J35" s="90" t="s">
        <v>2112</v>
      </c>
    </row>
    <row r="36" spans="1:10" ht="21.6" customHeight="1">
      <c r="A36" s="86" t="s">
        <v>2066</v>
      </c>
      <c r="B36" s="94" t="s">
        <v>2120</v>
      </c>
      <c r="C36" s="87"/>
      <c r="D36" s="89"/>
      <c r="E36" s="88" t="s">
        <v>1381</v>
      </c>
      <c r="F36" s="88"/>
      <c r="G36" s="88" t="s">
        <v>2085</v>
      </c>
      <c r="I36" s="87"/>
    </row>
    <row r="37" spans="1:10" ht="21.6" customHeight="1">
      <c r="A37" s="86" t="s">
        <v>2067</v>
      </c>
      <c r="B37" s="94" t="s">
        <v>2121</v>
      </c>
      <c r="C37" s="87"/>
      <c r="D37" s="89"/>
      <c r="E37" s="88"/>
      <c r="F37" s="88"/>
      <c r="G37" s="88"/>
      <c r="I37" s="87"/>
    </row>
    <row r="38" spans="1:10" ht="21.6" customHeight="1">
      <c r="A38" s="86" t="s">
        <v>2068</v>
      </c>
      <c r="B38" s="94" t="s">
        <v>2122</v>
      </c>
      <c r="C38" s="87"/>
      <c r="D38" s="89"/>
      <c r="E38" s="88"/>
      <c r="F38" s="88"/>
      <c r="G38" s="88"/>
      <c r="I38" s="87"/>
    </row>
    <row r="39" spans="1:10" ht="21.6" customHeight="1">
      <c r="A39" s="86" t="s">
        <v>2069</v>
      </c>
      <c r="B39" s="88" t="s">
        <v>2123</v>
      </c>
      <c r="C39" s="87"/>
      <c r="D39" s="89"/>
      <c r="E39" s="88" t="s">
        <v>1320</v>
      </c>
      <c r="F39" s="88" t="s">
        <v>1481</v>
      </c>
      <c r="G39" s="88"/>
      <c r="I39" s="87"/>
    </row>
    <row r="40" spans="1:10" ht="21.6" customHeight="1">
      <c r="A40" s="86" t="s">
        <v>2070</v>
      </c>
      <c r="B40" s="94"/>
      <c r="C40" s="87"/>
      <c r="D40" s="89"/>
      <c r="E40" s="88" t="s">
        <v>1393</v>
      </c>
      <c r="F40" s="88"/>
      <c r="G40" s="88"/>
      <c r="I40" s="87"/>
    </row>
    <row r="41" spans="1:10" ht="21.6" customHeight="1">
      <c r="A41" s="86" t="s">
        <v>2071</v>
      </c>
      <c r="B41" s="87" t="s">
        <v>1776</v>
      </c>
      <c r="C41" s="87"/>
      <c r="D41" s="89"/>
      <c r="E41" s="93" t="s">
        <v>1343</v>
      </c>
      <c r="F41" s="88"/>
      <c r="G41" s="88"/>
      <c r="I41" s="87"/>
    </row>
    <row r="42" spans="1:10" ht="21.6" customHeight="1">
      <c r="C42" s="92" t="s">
        <v>1943</v>
      </c>
      <c r="H42" s="92" t="s">
        <v>1943</v>
      </c>
    </row>
    <row r="43" spans="1:10" ht="21.6" customHeight="1">
      <c r="C43" s="92" t="s">
        <v>1944</v>
      </c>
      <c r="H43" s="92" t="s">
        <v>1944</v>
      </c>
    </row>
    <row r="44" spans="1:10" ht="21.6" customHeight="1">
      <c r="C44" s="92" t="s">
        <v>1945</v>
      </c>
      <c r="H44" s="92" t="s">
        <v>1945</v>
      </c>
    </row>
    <row r="45" spans="1:10" ht="21.6" customHeight="1">
      <c r="C45" s="92" t="s">
        <v>1946</v>
      </c>
      <c r="H45" s="92" t="s">
        <v>1946</v>
      </c>
    </row>
    <row r="46" spans="1:10" ht="21.6" customHeight="1">
      <c r="C46" s="92" t="s">
        <v>1947</v>
      </c>
      <c r="H46" s="92" t="s">
        <v>1947</v>
      </c>
    </row>
    <row r="47" spans="1:10" ht="21.6" customHeight="1">
      <c r="C47" s="92" t="s">
        <v>1948</v>
      </c>
      <c r="H47" s="92" t="s">
        <v>1948</v>
      </c>
    </row>
    <row r="48" spans="1:10" ht="21.6" customHeight="1">
      <c r="C48" s="92" t="s">
        <v>1949</v>
      </c>
      <c r="H48" s="92" t="s">
        <v>1949</v>
      </c>
    </row>
    <row r="49" spans="3:23" ht="21.6" customHeight="1">
      <c r="C49" s="92" t="s">
        <v>1950</v>
      </c>
      <c r="H49" s="92" t="s">
        <v>1950</v>
      </c>
    </row>
    <row r="50" spans="3:23" ht="21.6" customHeight="1">
      <c r="C50" s="92" t="s">
        <v>1951</v>
      </c>
      <c r="H50" s="92" t="s">
        <v>1951</v>
      </c>
    </row>
    <row r="52" spans="3:23" ht="21.6" customHeight="1">
      <c r="W52" s="90" t="s">
        <v>1030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CB7E-F359-4D1D-8F1E-3ABF2D75D33D}">
  <sheetPr codeName="Sheet19"/>
  <dimension ref="A1:E34"/>
  <sheetViews>
    <sheetView workbookViewId="0">
      <selection activeCell="K24" sqref="K24"/>
    </sheetView>
  </sheetViews>
  <sheetFormatPr defaultRowHeight="13.8"/>
  <cols>
    <col min="1" max="1" width="13.88671875" customWidth="1"/>
    <col min="3" max="3" width="17.77734375" customWidth="1"/>
  </cols>
  <sheetData>
    <row r="1" spans="1:5">
      <c r="A1" s="46" t="s">
        <v>1392</v>
      </c>
      <c r="B1" t="s">
        <v>2087</v>
      </c>
      <c r="C1" t="s">
        <v>2091</v>
      </c>
      <c r="D1" t="s">
        <v>1392</v>
      </c>
      <c r="E1" t="s">
        <v>2087</v>
      </c>
    </row>
    <row r="2" spans="1:5">
      <c r="A2" s="46" t="s">
        <v>1393</v>
      </c>
      <c r="B2" t="s">
        <v>2087</v>
      </c>
      <c r="C2" t="s">
        <v>2092</v>
      </c>
      <c r="D2" t="s">
        <v>2088</v>
      </c>
      <c r="E2" t="s">
        <v>2086</v>
      </c>
    </row>
    <row r="3" spans="1:5">
      <c r="A3" s="46" t="s">
        <v>1340</v>
      </c>
      <c r="B3" t="s">
        <v>2087</v>
      </c>
      <c r="C3" t="s">
        <v>2093</v>
      </c>
      <c r="D3" t="s">
        <v>1223</v>
      </c>
      <c r="E3" t="s">
        <v>2086</v>
      </c>
    </row>
    <row r="4" spans="1:5">
      <c r="A4" s="46" t="s">
        <v>1394</v>
      </c>
      <c r="B4" t="s">
        <v>2087</v>
      </c>
      <c r="C4" t="s">
        <v>2094</v>
      </c>
      <c r="D4" t="s">
        <v>1224</v>
      </c>
      <c r="E4" t="s">
        <v>2086</v>
      </c>
    </row>
    <row r="5" spans="1:5">
      <c r="A5" s="46" t="s">
        <v>1395</v>
      </c>
      <c r="B5" t="s">
        <v>2087</v>
      </c>
      <c r="C5" t="s">
        <v>2095</v>
      </c>
      <c r="D5" t="s">
        <v>1225</v>
      </c>
      <c r="E5" t="s">
        <v>2086</v>
      </c>
    </row>
    <row r="6" spans="1:5">
      <c r="A6" s="46" t="s">
        <v>1397</v>
      </c>
      <c r="B6" t="s">
        <v>2087</v>
      </c>
      <c r="C6" t="s">
        <v>2096</v>
      </c>
      <c r="D6" t="s">
        <v>2089</v>
      </c>
      <c r="E6" t="s">
        <v>2086</v>
      </c>
    </row>
    <row r="7" spans="1:5">
      <c r="A7" s="46" t="s">
        <v>1396</v>
      </c>
      <c r="B7" t="s">
        <v>2087</v>
      </c>
      <c r="C7" t="s">
        <v>2097</v>
      </c>
      <c r="D7" t="s">
        <v>1227</v>
      </c>
      <c r="E7" t="s">
        <v>2086</v>
      </c>
    </row>
    <row r="8" spans="1:5">
      <c r="A8" s="46" t="s">
        <v>1398</v>
      </c>
      <c r="B8" t="s">
        <v>2087</v>
      </c>
      <c r="C8" t="s">
        <v>2098</v>
      </c>
      <c r="D8" t="s">
        <v>1228</v>
      </c>
      <c r="E8" t="s">
        <v>2086</v>
      </c>
    </row>
    <row r="9" spans="1:5">
      <c r="A9" s="46" t="s">
        <v>1399</v>
      </c>
      <c r="B9" t="s">
        <v>2087</v>
      </c>
      <c r="C9" t="s">
        <v>2099</v>
      </c>
      <c r="D9" t="s">
        <v>1230</v>
      </c>
      <c r="E9" t="s">
        <v>2086</v>
      </c>
    </row>
    <row r="10" spans="1:5">
      <c r="A10" s="46" t="s">
        <v>1400</v>
      </c>
      <c r="B10" t="s">
        <v>2087</v>
      </c>
      <c r="C10" t="s">
        <v>2100</v>
      </c>
      <c r="D10" t="s">
        <v>1231</v>
      </c>
      <c r="E10" t="s">
        <v>2086</v>
      </c>
    </row>
    <row r="11" spans="1:5">
      <c r="A11" s="46" t="s">
        <v>1401</v>
      </c>
      <c r="B11" t="s">
        <v>2087</v>
      </c>
      <c r="C11" t="s">
        <v>2101</v>
      </c>
      <c r="D11" t="s">
        <v>1232</v>
      </c>
      <c r="E11" t="s">
        <v>2086</v>
      </c>
    </row>
    <row r="12" spans="1:5">
      <c r="A12" s="46" t="s">
        <v>1338</v>
      </c>
      <c r="B12" t="s">
        <v>2087</v>
      </c>
      <c r="C12" t="s">
        <v>2102</v>
      </c>
      <c r="D12" t="s">
        <v>1233</v>
      </c>
      <c r="E12" t="s">
        <v>2086</v>
      </c>
    </row>
    <row r="13" spans="1:5">
      <c r="A13" s="47" t="s">
        <v>1402</v>
      </c>
      <c r="B13" t="s">
        <v>2087</v>
      </c>
      <c r="C13" t="s">
        <v>2103</v>
      </c>
      <c r="D13" t="s">
        <v>1234</v>
      </c>
      <c r="E13" t="s">
        <v>2086</v>
      </c>
    </row>
    <row r="14" spans="1:5">
      <c r="A14" s="46" t="s">
        <v>1408</v>
      </c>
      <c r="B14" t="s">
        <v>2087</v>
      </c>
      <c r="C14" t="s">
        <v>2104</v>
      </c>
      <c r="D14" t="s">
        <v>2090</v>
      </c>
      <c r="E14" t="s">
        <v>2086</v>
      </c>
    </row>
    <row r="15" spans="1:5">
      <c r="A15" s="46" t="s">
        <v>1403</v>
      </c>
      <c r="B15" t="s">
        <v>2087</v>
      </c>
      <c r="C15" t="s">
        <v>2105</v>
      </c>
      <c r="D15" t="s">
        <v>1235</v>
      </c>
      <c r="E15" t="s">
        <v>2086</v>
      </c>
    </row>
    <row r="16" spans="1:5">
      <c r="A16" s="46" t="s">
        <v>1404</v>
      </c>
      <c r="B16" t="s">
        <v>2087</v>
      </c>
      <c r="C16" t="s">
        <v>2106</v>
      </c>
      <c r="D16" t="s">
        <v>1236</v>
      </c>
      <c r="E16" t="s">
        <v>2086</v>
      </c>
    </row>
    <row r="17" spans="1:5">
      <c r="A17" s="46" t="s">
        <v>1405</v>
      </c>
      <c r="B17" t="s">
        <v>2087</v>
      </c>
      <c r="C17" t="s">
        <v>2107</v>
      </c>
      <c r="D17" t="s">
        <v>1237</v>
      </c>
      <c r="E17" t="s">
        <v>2086</v>
      </c>
    </row>
    <row r="18" spans="1:5">
      <c r="A18" s="46" t="s">
        <v>1342</v>
      </c>
      <c r="B18" t="s">
        <v>2087</v>
      </c>
      <c r="C18" t="s">
        <v>2108</v>
      </c>
      <c r="D18" t="s">
        <v>1238</v>
      </c>
      <c r="E18" t="s">
        <v>2086</v>
      </c>
    </row>
    <row r="19" spans="1:5">
      <c r="A19" s="46" t="s">
        <v>1407</v>
      </c>
      <c r="B19" t="s">
        <v>2087</v>
      </c>
      <c r="C19" t="s">
        <v>2109</v>
      </c>
      <c r="D19" t="s">
        <v>1240</v>
      </c>
      <c r="E19" t="s">
        <v>2086</v>
      </c>
    </row>
    <row r="22" spans="1:5">
      <c r="A22">
        <v>99</v>
      </c>
      <c r="B22">
        <v>25</v>
      </c>
      <c r="C22">
        <v>124</v>
      </c>
      <c r="D22" t="s">
        <v>2110</v>
      </c>
      <c r="E22">
        <v>333</v>
      </c>
    </row>
    <row r="23" spans="1:5">
      <c r="A23">
        <v>101</v>
      </c>
      <c r="B23">
        <v>26</v>
      </c>
      <c r="C23">
        <v>124</v>
      </c>
      <c r="D23" t="s">
        <v>2110</v>
      </c>
      <c r="E23">
        <v>334</v>
      </c>
    </row>
    <row r="24" spans="1:5">
      <c r="A24">
        <v>102</v>
      </c>
      <c r="B24">
        <v>27</v>
      </c>
      <c r="C24">
        <v>124</v>
      </c>
      <c r="D24" t="s">
        <v>2110</v>
      </c>
      <c r="E24">
        <v>335</v>
      </c>
    </row>
    <row r="25" spans="1:5">
      <c r="A25">
        <v>103</v>
      </c>
      <c r="B25">
        <v>28</v>
      </c>
      <c r="C25">
        <v>124</v>
      </c>
      <c r="D25" t="s">
        <v>2110</v>
      </c>
      <c r="E25">
        <v>336</v>
      </c>
    </row>
    <row r="26" spans="1:5">
      <c r="A26">
        <v>104</v>
      </c>
      <c r="B26">
        <v>29</v>
      </c>
      <c r="C26">
        <v>124</v>
      </c>
      <c r="D26" t="s">
        <v>2110</v>
      </c>
      <c r="E26">
        <v>337</v>
      </c>
    </row>
    <row r="27" spans="1:5">
      <c r="A27">
        <v>105</v>
      </c>
      <c r="B27">
        <v>30</v>
      </c>
      <c r="C27">
        <v>124</v>
      </c>
      <c r="D27" t="s">
        <v>2110</v>
      </c>
      <c r="E27">
        <v>338</v>
      </c>
    </row>
    <row r="28" spans="1:5">
      <c r="A28">
        <v>106</v>
      </c>
      <c r="B28">
        <v>31</v>
      </c>
      <c r="C28">
        <v>124</v>
      </c>
      <c r="D28" t="s">
        <v>2110</v>
      </c>
      <c r="E28">
        <v>339</v>
      </c>
    </row>
    <row r="29" spans="1:5">
      <c r="A29">
        <v>107</v>
      </c>
      <c r="B29">
        <v>32</v>
      </c>
      <c r="C29">
        <v>124</v>
      </c>
      <c r="D29" t="s">
        <v>2110</v>
      </c>
      <c r="E29">
        <v>340</v>
      </c>
    </row>
    <row r="30" spans="1:5">
      <c r="A30">
        <v>108</v>
      </c>
      <c r="B30">
        <v>33</v>
      </c>
      <c r="C30">
        <v>124</v>
      </c>
      <c r="D30" t="s">
        <v>2110</v>
      </c>
      <c r="E30">
        <v>341</v>
      </c>
    </row>
    <row r="31" spans="1:5">
      <c r="A31">
        <v>109</v>
      </c>
      <c r="B31">
        <v>34</v>
      </c>
      <c r="C31">
        <v>124</v>
      </c>
      <c r="D31" t="s">
        <v>2110</v>
      </c>
      <c r="E31">
        <v>342</v>
      </c>
    </row>
    <row r="32" spans="1:5">
      <c r="A32">
        <v>110</v>
      </c>
      <c r="B32">
        <v>35</v>
      </c>
      <c r="C32">
        <v>124</v>
      </c>
      <c r="D32" t="s">
        <v>2110</v>
      </c>
      <c r="E32">
        <v>343</v>
      </c>
    </row>
    <row r="33" spans="1:5">
      <c r="A33">
        <v>111</v>
      </c>
      <c r="B33">
        <v>36</v>
      </c>
      <c r="C33">
        <v>124</v>
      </c>
      <c r="D33" t="s">
        <v>2110</v>
      </c>
      <c r="E33">
        <v>344</v>
      </c>
    </row>
    <row r="34" spans="1:5">
      <c r="C34">
        <f>SUM(C22:C33)</f>
        <v>1488</v>
      </c>
      <c r="E34">
        <f>SUM(E22:E32)</f>
        <v>3718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AB3D-4256-4879-9B7C-33D1C89C10A4}">
  <sheetPr codeName="Sheet20"/>
  <dimension ref="A1:T96"/>
  <sheetViews>
    <sheetView showGridLines="0" zoomScaleNormal="100" workbookViewId="0">
      <pane ySplit="1" topLeftCell="A65" activePane="bottomLeft" state="frozen"/>
      <selection activeCell="C1" sqref="C1"/>
      <selection pane="bottomLeft" activeCell="E81" sqref="E81"/>
    </sheetView>
  </sheetViews>
  <sheetFormatPr defaultColWidth="8.88671875" defaultRowHeight="21.6" customHeight="1"/>
  <cols>
    <col min="1" max="2" width="5.77734375" style="8" customWidth="1"/>
    <col min="3" max="3" width="17" style="60" customWidth="1"/>
    <col min="4" max="5" width="31.21875" style="60" customWidth="1"/>
    <col min="6" max="6" width="26.33203125" style="60" customWidth="1"/>
    <col min="7" max="7" width="29.77734375" style="60" customWidth="1"/>
    <col min="8" max="9" width="28.109375" style="60" customWidth="1"/>
    <col min="10" max="10" width="37.88671875" style="60" customWidth="1"/>
    <col min="11" max="13" width="26.33203125" style="60" customWidth="1"/>
    <col min="14" max="14" width="31.6640625" style="60" customWidth="1"/>
    <col min="15" max="15" width="38.21875" style="60" customWidth="1"/>
    <col min="16" max="16" width="32.33203125" style="60" customWidth="1"/>
    <col min="17" max="19" width="21.77734375" style="60" customWidth="1"/>
    <col min="20" max="20" width="33.109375" style="60" customWidth="1"/>
    <col min="21" max="24" width="21.77734375" style="60" customWidth="1"/>
    <col min="25" max="25" width="29.6640625" style="60" customWidth="1"/>
    <col min="26" max="29" width="8.88671875" style="60"/>
    <col min="30" max="30" width="14.44140625" style="60" bestFit="1" customWidth="1"/>
    <col min="31" max="16384" width="8.88671875" style="60"/>
  </cols>
  <sheetData>
    <row r="1" spans="1:20" s="58" customFormat="1" ht="21.6" customHeight="1">
      <c r="A1" s="35" t="s">
        <v>899</v>
      </c>
      <c r="B1" s="69"/>
      <c r="C1" s="56" t="s">
        <v>1512</v>
      </c>
      <c r="D1" s="56"/>
      <c r="E1" s="56"/>
      <c r="F1" s="56" t="s">
        <v>1546</v>
      </c>
      <c r="G1" s="56"/>
      <c r="H1" s="56"/>
      <c r="I1" s="56"/>
      <c r="J1" s="56"/>
      <c r="K1" s="56"/>
      <c r="L1" s="56"/>
      <c r="M1" s="56"/>
      <c r="N1" s="56"/>
      <c r="O1" s="57"/>
    </row>
    <row r="2" spans="1:20" ht="21.6" customHeight="1">
      <c r="A2" s="55" t="s">
        <v>1554</v>
      </c>
      <c r="B2" s="55" t="s">
        <v>1555</v>
      </c>
      <c r="C2" s="59" t="s">
        <v>1556</v>
      </c>
      <c r="D2" s="59" t="str">
        <f>A2&amp;B2&amp;C2</f>
        <v>/::)</v>
      </c>
      <c r="E2" s="59" t="s">
        <v>1662</v>
      </c>
      <c r="F2" s="59" t="s">
        <v>1547</v>
      </c>
      <c r="G2" s="62"/>
      <c r="I2" s="61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0" ht="21.6" customHeight="1">
      <c r="A3" s="55" t="s">
        <v>1554</v>
      </c>
      <c r="B3" s="55" t="s">
        <v>1555</v>
      </c>
      <c r="C3" s="61" t="s">
        <v>1379</v>
      </c>
      <c r="D3" s="59" t="str">
        <f t="shared" ref="D3:D52" si="0">A3&amp;B3&amp;C3</f>
        <v>/::~</v>
      </c>
      <c r="E3" s="59" t="s">
        <v>1706</v>
      </c>
      <c r="F3" s="59" t="s">
        <v>1548</v>
      </c>
      <c r="G3" s="62"/>
      <c r="H3" s="62"/>
      <c r="I3" s="62"/>
      <c r="J3" s="59"/>
      <c r="K3" s="59"/>
      <c r="L3" s="59"/>
      <c r="M3" s="59"/>
      <c r="N3" s="59"/>
      <c r="O3" s="63"/>
    </row>
    <row r="4" spans="1:20" ht="21.6" customHeight="1">
      <c r="A4" s="55" t="s">
        <v>1554</v>
      </c>
      <c r="B4" s="55" t="s">
        <v>1555</v>
      </c>
      <c r="C4" s="59" t="s">
        <v>1486</v>
      </c>
      <c r="D4" s="59" t="str">
        <f t="shared" si="0"/>
        <v>/::B</v>
      </c>
      <c r="E4" s="59" t="s">
        <v>1663</v>
      </c>
      <c r="F4" s="64" t="s">
        <v>1549</v>
      </c>
      <c r="G4" s="62"/>
      <c r="H4" s="62"/>
      <c r="I4" s="62"/>
      <c r="J4" s="61"/>
      <c r="K4" s="64"/>
      <c r="L4" s="59"/>
      <c r="M4" s="59"/>
      <c r="N4" s="59"/>
      <c r="O4" s="63"/>
    </row>
    <row r="5" spans="1:20" ht="21.6" customHeight="1">
      <c r="A5" s="55" t="s">
        <v>1554</v>
      </c>
      <c r="B5" s="55" t="s">
        <v>1555</v>
      </c>
      <c r="C5" s="59" t="s">
        <v>1557</v>
      </c>
      <c r="D5" s="59" t="str">
        <f t="shared" si="0"/>
        <v>/::|</v>
      </c>
      <c r="E5" s="59" t="s">
        <v>1664</v>
      </c>
      <c r="F5" s="64" t="s">
        <v>1550</v>
      </c>
      <c r="G5" s="62"/>
      <c r="H5" s="59"/>
      <c r="I5" s="62"/>
      <c r="K5" s="64"/>
      <c r="L5" s="59"/>
      <c r="M5" s="59"/>
      <c r="N5" s="59"/>
      <c r="O5" s="63"/>
    </row>
    <row r="6" spans="1:20" ht="21.6" customHeight="1">
      <c r="A6" s="55" t="s">
        <v>1554</v>
      </c>
      <c r="B6" s="55"/>
      <c r="C6" s="59" t="s">
        <v>1558</v>
      </c>
      <c r="D6" s="59" t="str">
        <f t="shared" si="0"/>
        <v>/:8-)</v>
      </c>
      <c r="E6" s="59" t="s">
        <v>1730</v>
      </c>
      <c r="F6" s="64" t="s">
        <v>1551</v>
      </c>
      <c r="G6" s="61"/>
      <c r="H6" s="59"/>
      <c r="I6" s="61"/>
      <c r="J6" s="61"/>
      <c r="K6" s="64"/>
      <c r="L6" s="61"/>
      <c r="M6" s="59"/>
      <c r="N6" s="59"/>
      <c r="O6" s="63"/>
    </row>
    <row r="7" spans="1:20" ht="21.6" customHeight="1">
      <c r="A7" s="55" t="s">
        <v>1554</v>
      </c>
      <c r="B7" s="55" t="s">
        <v>1555</v>
      </c>
      <c r="C7" s="59" t="s">
        <v>1507</v>
      </c>
      <c r="D7" s="59" t="str">
        <f t="shared" si="0"/>
        <v>/::&lt;</v>
      </c>
      <c r="E7" s="59" t="s">
        <v>1665</v>
      </c>
      <c r="F7" s="64" t="s">
        <v>1552</v>
      </c>
      <c r="G7" s="62"/>
      <c r="H7" s="59"/>
      <c r="I7" s="61"/>
      <c r="J7" s="61"/>
      <c r="K7" s="64"/>
      <c r="L7" s="59"/>
      <c r="M7" s="59"/>
      <c r="N7" s="59"/>
      <c r="O7" s="63"/>
    </row>
    <row r="8" spans="1:20" ht="21.6" customHeight="1">
      <c r="A8" s="55" t="s">
        <v>1554</v>
      </c>
      <c r="B8" s="55" t="s">
        <v>1555</v>
      </c>
      <c r="C8" s="59" t="s">
        <v>1559</v>
      </c>
      <c r="D8" s="59" t="str">
        <f t="shared" si="0"/>
        <v>/::$</v>
      </c>
      <c r="E8" s="59" t="s">
        <v>1666</v>
      </c>
      <c r="F8" s="64" t="s">
        <v>1553</v>
      </c>
      <c r="G8" s="62"/>
      <c r="H8" s="62"/>
      <c r="I8" s="61"/>
      <c r="J8" s="61"/>
      <c r="K8" s="64"/>
      <c r="L8" s="59"/>
      <c r="M8" s="59"/>
      <c r="N8" s="59"/>
      <c r="O8" s="63"/>
    </row>
    <row r="9" spans="1:20" ht="21.6" customHeight="1">
      <c r="A9" s="55" t="s">
        <v>1554</v>
      </c>
      <c r="B9" s="55" t="s">
        <v>1555</v>
      </c>
      <c r="C9" s="59" t="s">
        <v>1501</v>
      </c>
      <c r="D9" s="59" t="str">
        <f t="shared" si="0"/>
        <v>/::X</v>
      </c>
      <c r="E9" s="59" t="s">
        <v>1667</v>
      </c>
      <c r="F9" s="64" t="s">
        <v>1607</v>
      </c>
      <c r="G9" s="62"/>
      <c r="H9" s="62"/>
      <c r="I9" s="61"/>
      <c r="J9" s="61"/>
      <c r="K9" s="64"/>
      <c r="L9" s="59"/>
      <c r="M9" s="59"/>
      <c r="N9" s="59"/>
      <c r="O9" s="63"/>
    </row>
    <row r="10" spans="1:20" ht="21.6" customHeight="1">
      <c r="A10" s="55" t="s">
        <v>1554</v>
      </c>
      <c r="B10" s="55" t="s">
        <v>1555</v>
      </c>
      <c r="C10" s="59" t="s">
        <v>1503</v>
      </c>
      <c r="D10" s="59" t="str">
        <f t="shared" si="0"/>
        <v>/::Z</v>
      </c>
      <c r="E10" s="59" t="s">
        <v>1668</v>
      </c>
      <c r="F10" s="64" t="s">
        <v>1608</v>
      </c>
      <c r="G10" s="62"/>
      <c r="H10" s="62"/>
      <c r="I10" s="61"/>
      <c r="J10" s="61"/>
      <c r="K10" s="64"/>
      <c r="L10" s="59"/>
      <c r="M10" s="59"/>
      <c r="N10" s="59"/>
      <c r="O10" s="63"/>
    </row>
    <row r="11" spans="1:20" ht="21.6" customHeight="1">
      <c r="A11" s="55" t="s">
        <v>1554</v>
      </c>
      <c r="B11" s="55" t="s">
        <v>1555</v>
      </c>
      <c r="C11" s="70" t="s">
        <v>1560</v>
      </c>
      <c r="D11" s="59" t="str">
        <f t="shared" si="0"/>
        <v>/::(</v>
      </c>
      <c r="E11" s="59" t="s">
        <v>1669</v>
      </c>
      <c r="F11" s="64" t="s">
        <v>1552</v>
      </c>
      <c r="G11" s="62"/>
      <c r="H11" s="61"/>
      <c r="I11" s="61"/>
      <c r="J11" s="61"/>
      <c r="K11" s="64"/>
      <c r="L11" s="59"/>
      <c r="M11" s="59"/>
      <c r="N11" s="59"/>
      <c r="O11" s="63"/>
    </row>
    <row r="12" spans="1:20" ht="21.6" customHeight="1">
      <c r="A12" s="55" t="s">
        <v>1554</v>
      </c>
      <c r="B12" s="55" t="s">
        <v>1555</v>
      </c>
      <c r="C12" s="70" t="s">
        <v>1561</v>
      </c>
      <c r="D12" s="59" t="str">
        <f t="shared" si="0"/>
        <v>/::-|</v>
      </c>
      <c r="E12" s="59" t="s">
        <v>1670</v>
      </c>
      <c r="F12" s="64" t="s">
        <v>1609</v>
      </c>
      <c r="G12" s="62"/>
      <c r="H12" s="61"/>
      <c r="I12" s="61"/>
      <c r="J12" s="61"/>
      <c r="K12" s="64"/>
      <c r="L12" s="59"/>
      <c r="M12" s="59"/>
      <c r="N12" s="59"/>
      <c r="O12" s="63"/>
    </row>
    <row r="13" spans="1:20" ht="21.6" customHeight="1">
      <c r="A13" s="55" t="s">
        <v>1554</v>
      </c>
      <c r="B13" s="55" t="s">
        <v>1555</v>
      </c>
      <c r="C13" s="59" t="s">
        <v>1562</v>
      </c>
      <c r="D13" s="59" t="str">
        <f t="shared" si="0"/>
        <v>/::@</v>
      </c>
      <c r="E13" s="59" t="s">
        <v>1671</v>
      </c>
      <c r="F13" s="61" t="s">
        <v>1610</v>
      </c>
      <c r="G13" s="62"/>
      <c r="H13" s="61"/>
      <c r="I13" s="61"/>
      <c r="J13" s="61"/>
      <c r="K13" s="61"/>
      <c r="L13" s="59"/>
      <c r="M13" s="59"/>
      <c r="N13" s="59"/>
      <c r="O13" s="63"/>
    </row>
    <row r="14" spans="1:20" ht="21.6" customHeight="1">
      <c r="A14" s="55" t="s">
        <v>1554</v>
      </c>
      <c r="B14" s="55" t="s">
        <v>1555</v>
      </c>
      <c r="C14" s="61" t="s">
        <v>1347</v>
      </c>
      <c r="D14" s="59" t="str">
        <f t="shared" si="0"/>
        <v>/::P</v>
      </c>
      <c r="E14" s="59" t="s">
        <v>1672</v>
      </c>
      <c r="F14" s="61" t="s">
        <v>1611</v>
      </c>
      <c r="G14" s="62"/>
      <c r="H14" s="61"/>
      <c r="I14" s="61"/>
      <c r="J14" s="61"/>
      <c r="K14" s="61"/>
      <c r="L14" s="59"/>
      <c r="M14" s="59"/>
      <c r="N14" s="59"/>
      <c r="O14" s="63"/>
    </row>
    <row r="15" spans="1:20" ht="21.6" customHeight="1">
      <c r="A15" s="55" t="s">
        <v>1554</v>
      </c>
      <c r="B15" s="55" t="s">
        <v>1555</v>
      </c>
      <c r="C15" s="61" t="s">
        <v>1482</v>
      </c>
      <c r="D15" s="59" t="str">
        <f t="shared" si="0"/>
        <v>/::D</v>
      </c>
      <c r="E15" s="59" t="s">
        <v>1673</v>
      </c>
      <c r="F15" s="61" t="s">
        <v>1612</v>
      </c>
      <c r="G15" s="62"/>
      <c r="H15" s="61"/>
      <c r="I15" s="61"/>
      <c r="J15" s="61"/>
      <c r="K15" s="61"/>
      <c r="L15" s="59"/>
      <c r="M15" s="59"/>
      <c r="N15" s="59"/>
      <c r="O15" s="63"/>
    </row>
    <row r="16" spans="1:20" ht="21.6" customHeight="1">
      <c r="A16" s="55" t="s">
        <v>1554</v>
      </c>
      <c r="B16" s="55" t="s">
        <v>1555</v>
      </c>
      <c r="C16" s="59" t="s">
        <v>1346</v>
      </c>
      <c r="D16" s="59" t="str">
        <f t="shared" si="0"/>
        <v>/::O</v>
      </c>
      <c r="E16" s="59" t="s">
        <v>1674</v>
      </c>
      <c r="F16" s="61" t="s">
        <v>1613</v>
      </c>
      <c r="G16" s="62"/>
      <c r="H16" s="61"/>
      <c r="I16" s="62"/>
      <c r="J16" s="61"/>
      <c r="K16" s="61"/>
      <c r="L16" s="59"/>
      <c r="M16" s="59"/>
      <c r="N16" s="59"/>
      <c r="O16" s="63"/>
    </row>
    <row r="17" spans="1:20" ht="21.6" customHeight="1">
      <c r="A17" s="55" t="s">
        <v>1554</v>
      </c>
      <c r="B17" s="55" t="s">
        <v>1555</v>
      </c>
      <c r="C17" s="61" t="s">
        <v>1560</v>
      </c>
      <c r="D17" s="59" t="str">
        <f t="shared" si="0"/>
        <v>/::(</v>
      </c>
      <c r="E17" s="59" t="s">
        <v>1669</v>
      </c>
      <c r="F17" s="61" t="s">
        <v>1614</v>
      </c>
      <c r="G17" s="61"/>
      <c r="H17" s="61"/>
      <c r="I17" s="61"/>
      <c r="J17" s="61"/>
      <c r="K17" s="61"/>
      <c r="L17" s="59"/>
      <c r="M17" s="59"/>
      <c r="N17" s="59"/>
      <c r="O17" s="63"/>
    </row>
    <row r="18" spans="1:20" ht="21.6" customHeight="1">
      <c r="A18" s="55" t="s">
        <v>1554</v>
      </c>
      <c r="B18" s="55" t="s">
        <v>1555</v>
      </c>
      <c r="C18" s="61" t="s">
        <v>1563</v>
      </c>
      <c r="D18" s="59" t="str">
        <f t="shared" si="0"/>
        <v>/::+</v>
      </c>
      <c r="E18" s="59" t="s">
        <v>1675</v>
      </c>
      <c r="F18" s="61" t="s">
        <v>1615</v>
      </c>
      <c r="G18" s="61"/>
      <c r="H18" s="61"/>
      <c r="I18" s="61"/>
      <c r="J18" s="61"/>
      <c r="K18" s="61"/>
      <c r="L18" s="59"/>
      <c r="M18" s="59"/>
      <c r="N18" s="59"/>
      <c r="O18" s="63"/>
    </row>
    <row r="19" spans="1:20" ht="21.6" customHeight="1">
      <c r="A19" s="55" t="s">
        <v>1554</v>
      </c>
      <c r="B19" s="55"/>
      <c r="C19" s="61" t="s">
        <v>1564</v>
      </c>
      <c r="D19" s="59" t="str">
        <f t="shared" si="0"/>
        <v>/:b</v>
      </c>
      <c r="E19" s="59" t="s">
        <v>1676</v>
      </c>
      <c r="F19" s="61" t="s">
        <v>1616</v>
      </c>
      <c r="G19" s="61"/>
      <c r="H19" s="61"/>
      <c r="I19" s="61"/>
      <c r="J19" s="61"/>
      <c r="L19" s="59"/>
      <c r="M19" s="59"/>
      <c r="N19" s="59"/>
      <c r="O19" s="63"/>
    </row>
    <row r="20" spans="1:20" ht="21.6" customHeight="1">
      <c r="A20" s="55" t="s">
        <v>1554</v>
      </c>
      <c r="B20" s="55" t="s">
        <v>1555</v>
      </c>
      <c r="C20" s="61" t="s">
        <v>1344</v>
      </c>
      <c r="D20" s="59" t="str">
        <f t="shared" si="0"/>
        <v>/::Q</v>
      </c>
      <c r="E20" s="59" t="s">
        <v>1677</v>
      </c>
      <c r="F20" s="61" t="s">
        <v>1617</v>
      </c>
      <c r="G20" s="61"/>
      <c r="H20" s="61"/>
      <c r="I20" s="61"/>
      <c r="J20" s="61"/>
      <c r="K20" s="59"/>
      <c r="L20" s="59"/>
      <c r="M20" s="59"/>
      <c r="N20" s="59"/>
      <c r="O20" s="63"/>
    </row>
    <row r="21" spans="1:20" ht="21.6" customHeight="1">
      <c r="A21" s="55" t="s">
        <v>1554</v>
      </c>
      <c r="B21" s="55" t="s">
        <v>1555</v>
      </c>
      <c r="C21" s="61" t="s">
        <v>1497</v>
      </c>
      <c r="D21" s="59" t="str">
        <f t="shared" si="0"/>
        <v>/::T</v>
      </c>
      <c r="E21" s="59" t="s">
        <v>1678</v>
      </c>
      <c r="F21" s="61" t="s">
        <v>1618</v>
      </c>
      <c r="G21" s="61"/>
      <c r="H21" s="61"/>
      <c r="I21" s="61"/>
      <c r="J21" s="61"/>
      <c r="K21" s="65"/>
      <c r="L21" s="66"/>
      <c r="M21" s="59"/>
      <c r="N21" s="59"/>
      <c r="O21" s="63"/>
    </row>
    <row r="22" spans="1:20" ht="21.6" customHeight="1">
      <c r="A22" s="55" t="s">
        <v>1554</v>
      </c>
      <c r="B22" s="55"/>
      <c r="C22" s="65" t="s">
        <v>1565</v>
      </c>
      <c r="D22" s="59" t="str">
        <f t="shared" si="0"/>
        <v>/:,@P</v>
      </c>
      <c r="E22" s="59" t="s">
        <v>1707</v>
      </c>
      <c r="F22" s="61" t="s">
        <v>1612</v>
      </c>
      <c r="G22" s="61"/>
      <c r="H22" s="61"/>
      <c r="I22" s="62"/>
      <c r="J22" s="61"/>
      <c r="K22" s="59"/>
      <c r="L22" s="62"/>
      <c r="M22" s="59"/>
      <c r="N22" s="59"/>
      <c r="O22" s="63"/>
    </row>
    <row r="23" spans="1:20" ht="21.6" customHeight="1">
      <c r="A23" s="55" t="s">
        <v>1554</v>
      </c>
      <c r="B23" s="55"/>
      <c r="C23" s="65" t="s">
        <v>1708</v>
      </c>
      <c r="D23" s="59" t="str">
        <f t="shared" si="0"/>
        <v>/:,@-D</v>
      </c>
      <c r="E23" s="59" t="s">
        <v>1709</v>
      </c>
      <c r="F23" s="61" t="s">
        <v>1619</v>
      </c>
      <c r="G23" s="61"/>
      <c r="H23" s="61"/>
      <c r="I23" s="62"/>
      <c r="J23" s="61"/>
      <c r="K23" s="59"/>
      <c r="L23" s="67"/>
      <c r="M23" s="59"/>
      <c r="N23" s="59"/>
      <c r="O23" s="63"/>
    </row>
    <row r="24" spans="1:20" ht="21.6" customHeight="1">
      <c r="A24" s="55" t="s">
        <v>1554</v>
      </c>
      <c r="B24" s="55" t="s">
        <v>1555</v>
      </c>
      <c r="C24" s="59" t="s">
        <v>1566</v>
      </c>
      <c r="D24" s="59" t="str">
        <f t="shared" si="0"/>
        <v>/::d</v>
      </c>
      <c r="E24" s="59" t="s">
        <v>1679</v>
      </c>
      <c r="F24" s="61" t="s">
        <v>1620</v>
      </c>
      <c r="G24" s="61"/>
      <c r="H24" s="61"/>
      <c r="I24" s="62"/>
      <c r="J24" s="61"/>
      <c r="K24" s="59"/>
      <c r="L24" s="59"/>
      <c r="M24" s="59"/>
      <c r="N24" s="59"/>
      <c r="O24" s="63"/>
    </row>
    <row r="25" spans="1:20" ht="21.6" customHeight="1">
      <c r="A25" s="55" t="s">
        <v>1554</v>
      </c>
      <c r="B25" s="55"/>
      <c r="C25" s="59" t="s">
        <v>1660</v>
      </c>
      <c r="D25" s="59" t="str">
        <f t="shared" si="0"/>
        <v>/:,@o</v>
      </c>
      <c r="E25" s="59" t="s">
        <v>1710</v>
      </c>
      <c r="F25" s="61" t="s">
        <v>1621</v>
      </c>
      <c r="G25" s="61"/>
      <c r="H25" s="61"/>
      <c r="I25" s="62"/>
      <c r="J25" s="61"/>
      <c r="K25" s="59"/>
      <c r="L25" s="59"/>
      <c r="M25" s="59"/>
      <c r="N25" s="59"/>
      <c r="O25" s="63"/>
    </row>
    <row r="26" spans="1:20" ht="21.6" customHeight="1">
      <c r="A26" s="55" t="s">
        <v>1554</v>
      </c>
      <c r="B26" s="55" t="s">
        <v>1555</v>
      </c>
      <c r="C26" s="59" t="s">
        <v>1448</v>
      </c>
      <c r="D26" s="59" t="str">
        <f t="shared" si="0"/>
        <v>/::g</v>
      </c>
      <c r="E26" s="59" t="s">
        <v>1680</v>
      </c>
      <c r="F26" s="61" t="s">
        <v>1622</v>
      </c>
      <c r="G26" s="61"/>
      <c r="H26" s="61"/>
      <c r="I26" s="62"/>
      <c r="J26" s="68"/>
      <c r="K26" s="59"/>
      <c r="L26" s="59"/>
      <c r="M26" s="59"/>
      <c r="N26" s="59"/>
      <c r="O26" s="63"/>
    </row>
    <row r="27" spans="1:20" ht="21.6" customHeight="1">
      <c r="A27" s="55" t="s">
        <v>1554</v>
      </c>
      <c r="B27" s="55"/>
      <c r="C27" s="59" t="s">
        <v>1567</v>
      </c>
      <c r="D27" s="59" t="str">
        <f t="shared" si="0"/>
        <v>/:|-)</v>
      </c>
      <c r="E27" s="59" t="s">
        <v>1711</v>
      </c>
      <c r="F27" s="64" t="s">
        <v>1641</v>
      </c>
      <c r="G27" s="61"/>
      <c r="H27" s="61"/>
      <c r="I27" s="62"/>
      <c r="J27" s="61"/>
      <c r="K27" s="59"/>
      <c r="L27" s="59"/>
      <c r="M27" s="59"/>
      <c r="N27" s="59"/>
      <c r="O27" s="63"/>
    </row>
    <row r="28" spans="1:20" ht="21.6" customHeight="1">
      <c r="A28" s="55" t="s">
        <v>1554</v>
      </c>
      <c r="B28" s="55" t="s">
        <v>1555</v>
      </c>
      <c r="C28" s="59" t="s">
        <v>1568</v>
      </c>
      <c r="D28" s="59" t="str">
        <f t="shared" si="0"/>
        <v>/::!</v>
      </c>
      <c r="E28" s="59" t="s">
        <v>1681</v>
      </c>
      <c r="F28" s="61" t="s">
        <v>1623</v>
      </c>
      <c r="G28" s="61"/>
      <c r="H28" s="61"/>
      <c r="I28" s="62"/>
      <c r="J28" s="59"/>
      <c r="K28" s="59"/>
      <c r="L28" s="59"/>
      <c r="M28" s="59"/>
      <c r="N28" s="59"/>
      <c r="O28" s="63"/>
    </row>
    <row r="29" spans="1:20" ht="21.6" customHeight="1">
      <c r="A29" s="55" t="s">
        <v>1554</v>
      </c>
      <c r="B29" s="55" t="s">
        <v>1555</v>
      </c>
      <c r="C29" s="59" t="s">
        <v>1349</v>
      </c>
      <c r="D29" s="59" t="str">
        <f t="shared" si="0"/>
        <v>/::L</v>
      </c>
      <c r="E29" s="59" t="s">
        <v>1682</v>
      </c>
      <c r="F29" s="61" t="s">
        <v>1616</v>
      </c>
      <c r="G29" s="61"/>
      <c r="H29" s="61"/>
      <c r="I29" s="62"/>
      <c r="J29" s="59"/>
      <c r="L29" s="59"/>
      <c r="M29" s="59"/>
      <c r="N29" s="59"/>
      <c r="O29" s="59"/>
      <c r="P29" s="59"/>
      <c r="Q29" s="59"/>
      <c r="R29" s="59"/>
      <c r="S29" s="59"/>
      <c r="T29" s="59"/>
    </row>
    <row r="30" spans="1:20" ht="21.6" customHeight="1">
      <c r="A30" s="55" t="s">
        <v>1554</v>
      </c>
      <c r="B30" s="55" t="s">
        <v>1555</v>
      </c>
      <c r="C30" s="59" t="s">
        <v>1508</v>
      </c>
      <c r="D30" s="59" t="str">
        <f t="shared" si="0"/>
        <v>/::&gt;</v>
      </c>
      <c r="E30" s="59" t="s">
        <v>1683</v>
      </c>
      <c r="F30" s="61" t="s">
        <v>1624</v>
      </c>
      <c r="G30" s="61"/>
      <c r="H30" s="61"/>
      <c r="I30" s="61"/>
      <c r="J30" s="61"/>
      <c r="K30" s="59"/>
      <c r="L30" s="59"/>
      <c r="M30" s="59"/>
      <c r="N30" s="59"/>
      <c r="O30" s="59"/>
      <c r="P30" s="59"/>
      <c r="Q30" s="59"/>
      <c r="R30" s="59"/>
      <c r="S30" s="59"/>
      <c r="T30" s="59"/>
    </row>
    <row r="31" spans="1:20" ht="21.6" customHeight="1">
      <c r="A31" s="55" t="s">
        <v>1554</v>
      </c>
      <c r="B31" s="55" t="s">
        <v>1555</v>
      </c>
      <c r="C31" s="59" t="s">
        <v>1569</v>
      </c>
      <c r="D31" s="59" t="str">
        <f t="shared" si="0"/>
        <v>/::,@</v>
      </c>
      <c r="E31" s="59" t="s">
        <v>1712</v>
      </c>
      <c r="F31" s="61" t="s">
        <v>1625</v>
      </c>
      <c r="G31" s="61"/>
      <c r="H31" s="61"/>
      <c r="I31" s="61"/>
      <c r="J31" s="61"/>
      <c r="K31" s="59"/>
      <c r="L31" s="59"/>
      <c r="M31" s="59"/>
      <c r="N31" s="59"/>
      <c r="O31" s="59"/>
      <c r="P31" s="59"/>
      <c r="Q31" s="59"/>
      <c r="R31" s="59"/>
      <c r="S31" s="59"/>
      <c r="T31" s="59"/>
    </row>
    <row r="32" spans="1:20" ht="21.6" customHeight="1">
      <c r="A32" s="55" t="s">
        <v>1554</v>
      </c>
      <c r="B32" s="55"/>
      <c r="C32" s="59" t="s">
        <v>1661</v>
      </c>
      <c r="D32" s="59" t="str">
        <f t="shared" si="0"/>
        <v>/:,@f</v>
      </c>
      <c r="E32" s="59" t="s">
        <v>1684</v>
      </c>
      <c r="F32" s="61" t="s">
        <v>1626</v>
      </c>
      <c r="G32" s="61"/>
      <c r="H32" s="61"/>
      <c r="I32" s="61"/>
      <c r="J32" s="61"/>
      <c r="K32" s="59"/>
      <c r="L32" s="59"/>
      <c r="M32" s="59"/>
      <c r="N32" s="59"/>
      <c r="O32" s="59"/>
      <c r="P32" s="59"/>
      <c r="Q32" s="59"/>
      <c r="R32" s="59"/>
      <c r="S32" s="59"/>
      <c r="T32" s="59"/>
    </row>
    <row r="33" spans="1:20" ht="21.6" customHeight="1">
      <c r="A33" s="55" t="s">
        <v>1554</v>
      </c>
      <c r="B33" s="55" t="s">
        <v>1555</v>
      </c>
      <c r="C33" s="70" t="s">
        <v>1570</v>
      </c>
      <c r="D33" s="59" t="str">
        <f t="shared" si="0"/>
        <v>/::-S</v>
      </c>
      <c r="E33" s="59" t="s">
        <v>1729</v>
      </c>
      <c r="F33" s="61" t="s">
        <v>1627</v>
      </c>
      <c r="G33" s="61"/>
      <c r="H33" s="61"/>
      <c r="I33" s="61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</row>
    <row r="34" spans="1:20" ht="21.6" customHeight="1">
      <c r="A34" s="55" t="s">
        <v>1554</v>
      </c>
      <c r="B34" s="55"/>
      <c r="C34" s="59" t="s">
        <v>1571</v>
      </c>
      <c r="D34" s="59" t="str">
        <f t="shared" si="0"/>
        <v>/:?</v>
      </c>
      <c r="E34" s="59" t="s">
        <v>1685</v>
      </c>
      <c r="F34" s="61" t="s">
        <v>1628</v>
      </c>
      <c r="G34" s="61"/>
      <c r="H34" s="61"/>
      <c r="I34" s="61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</row>
    <row r="35" spans="1:20" ht="21.6" customHeight="1">
      <c r="A35" s="55" t="s">
        <v>1554</v>
      </c>
      <c r="B35" s="55"/>
      <c r="C35" s="59" t="s">
        <v>1572</v>
      </c>
      <c r="D35" s="59" t="str">
        <f t="shared" si="0"/>
        <v>/:,@x</v>
      </c>
      <c r="E35" s="59" t="s">
        <v>1686</v>
      </c>
      <c r="F35" s="61" t="s">
        <v>1629</v>
      </c>
      <c r="G35" s="61"/>
      <c r="H35" s="61"/>
      <c r="I35" s="61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</row>
    <row r="36" spans="1:20" ht="21.6" customHeight="1">
      <c r="A36" s="55" t="s">
        <v>1554</v>
      </c>
      <c r="B36" s="55"/>
      <c r="C36" s="59" t="s">
        <v>1573</v>
      </c>
      <c r="D36" s="59" t="str">
        <f t="shared" si="0"/>
        <v>/:,@@</v>
      </c>
      <c r="E36" s="59" t="s">
        <v>1687</v>
      </c>
      <c r="F36" s="61" t="s">
        <v>1630</v>
      </c>
      <c r="G36" s="61"/>
      <c r="H36" s="61"/>
      <c r="I36" s="61"/>
      <c r="J36" s="61"/>
      <c r="K36" s="59"/>
      <c r="L36" s="59"/>
      <c r="M36" s="59"/>
      <c r="N36" s="59"/>
      <c r="O36" s="59"/>
      <c r="P36" s="59"/>
      <c r="Q36" s="59"/>
      <c r="R36" s="59"/>
      <c r="S36" s="59"/>
      <c r="T36" s="59"/>
    </row>
    <row r="37" spans="1:20" ht="21.6" customHeight="1">
      <c r="A37" s="55" t="s">
        <v>1554</v>
      </c>
      <c r="B37" s="55" t="s">
        <v>1555</v>
      </c>
      <c r="C37" s="59">
        <v>8</v>
      </c>
      <c r="D37" s="59" t="str">
        <f t="shared" si="0"/>
        <v>/::8</v>
      </c>
      <c r="E37" s="59" t="s">
        <v>1688</v>
      </c>
      <c r="F37" s="61" t="s">
        <v>1631</v>
      </c>
      <c r="G37" s="61"/>
      <c r="H37" s="61"/>
      <c r="I37" s="61"/>
      <c r="J37" s="61"/>
      <c r="K37" s="59"/>
      <c r="L37" s="59"/>
      <c r="M37" s="59"/>
      <c r="N37" s="59"/>
      <c r="O37" s="59"/>
      <c r="P37" s="59"/>
      <c r="Q37" s="59"/>
      <c r="R37" s="59"/>
      <c r="S37" s="59"/>
      <c r="T37" s="59"/>
    </row>
    <row r="38" spans="1:20" ht="21.6" customHeight="1">
      <c r="A38" s="55" t="s">
        <v>1554</v>
      </c>
      <c r="B38" s="55"/>
      <c r="C38" s="59" t="s">
        <v>1574</v>
      </c>
      <c r="D38" s="59" t="str">
        <f t="shared" si="0"/>
        <v>/:,@!</v>
      </c>
      <c r="E38" s="59" t="s">
        <v>1728</v>
      </c>
      <c r="F38" s="61" t="s">
        <v>1632</v>
      </c>
      <c r="G38" s="61"/>
      <c r="H38" s="61"/>
      <c r="I38" s="61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</row>
    <row r="39" spans="1:20" ht="21.6" customHeight="1">
      <c r="A39" s="55" t="s">
        <v>1554</v>
      </c>
      <c r="B39" s="55"/>
      <c r="C39" s="59" t="s">
        <v>1575</v>
      </c>
      <c r="D39" s="59" t="str">
        <f t="shared" si="0"/>
        <v>/:!!!</v>
      </c>
      <c r="E39" s="59" t="s">
        <v>1689</v>
      </c>
      <c r="F39" s="61" t="s">
        <v>1633</v>
      </c>
      <c r="G39" s="61"/>
      <c r="H39" s="61"/>
      <c r="I39" s="61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</row>
    <row r="40" spans="1:20" ht="21.6" customHeight="1">
      <c r="A40" s="55" t="s">
        <v>1554</v>
      </c>
      <c r="B40" s="55"/>
      <c r="C40" s="59" t="s">
        <v>1576</v>
      </c>
      <c r="D40" s="59" t="str">
        <f t="shared" si="0"/>
        <v>/:xx</v>
      </c>
      <c r="E40" s="59" t="s">
        <v>1690</v>
      </c>
      <c r="F40" s="61" t="s">
        <v>1634</v>
      </c>
      <c r="G40" s="61"/>
      <c r="H40" s="61"/>
      <c r="I40" s="61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</row>
    <row r="41" spans="1:20" ht="21.6" customHeight="1">
      <c r="A41" s="55" t="s">
        <v>1554</v>
      </c>
      <c r="B41" s="55"/>
      <c r="C41" s="59" t="s">
        <v>1577</v>
      </c>
      <c r="D41" s="59" t="str">
        <f t="shared" si="0"/>
        <v>/:bye</v>
      </c>
      <c r="E41" s="59" t="s">
        <v>1727</v>
      </c>
      <c r="F41" s="61" t="s">
        <v>1577</v>
      </c>
      <c r="G41" s="61"/>
      <c r="H41" s="61"/>
      <c r="I41" s="61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</row>
    <row r="42" spans="1:20" ht="21.6" customHeight="1">
      <c r="A42" s="55" t="s">
        <v>1554</v>
      </c>
      <c r="B42" s="55"/>
      <c r="C42" s="59" t="s">
        <v>1578</v>
      </c>
      <c r="D42" s="59" t="str">
        <f t="shared" si="0"/>
        <v>/:wipe</v>
      </c>
      <c r="E42" s="59" t="s">
        <v>1726</v>
      </c>
      <c r="F42" s="61" t="s">
        <v>1616</v>
      </c>
      <c r="G42" s="61"/>
      <c r="H42" s="61"/>
      <c r="I42" s="61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</row>
    <row r="43" spans="1:20" ht="21.6" customHeight="1">
      <c r="A43" s="55" t="s">
        <v>1554</v>
      </c>
      <c r="B43" s="55"/>
      <c r="C43" s="59" t="s">
        <v>1579</v>
      </c>
      <c r="D43" s="59" t="str">
        <f t="shared" si="0"/>
        <v>/:dig</v>
      </c>
      <c r="E43" s="59" t="s">
        <v>1691</v>
      </c>
      <c r="F43" s="61" t="s">
        <v>1635</v>
      </c>
      <c r="G43" s="61"/>
      <c r="H43" s="61"/>
      <c r="I43" s="61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</row>
    <row r="44" spans="1:20" ht="21.6" customHeight="1">
      <c r="A44" s="55" t="s">
        <v>1554</v>
      </c>
      <c r="B44" s="55"/>
      <c r="C44" s="59" t="s">
        <v>1580</v>
      </c>
      <c r="D44" s="59" t="str">
        <f t="shared" si="0"/>
        <v>/:handclap</v>
      </c>
      <c r="E44" s="59" t="s">
        <v>1692</v>
      </c>
      <c r="F44" s="61" t="s">
        <v>1636</v>
      </c>
      <c r="G44" s="61"/>
      <c r="H44" s="61"/>
      <c r="I44" s="61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</row>
    <row r="45" spans="1:20" ht="21.6" customHeight="1">
      <c r="A45" s="55" t="s">
        <v>1554</v>
      </c>
      <c r="B45" s="55"/>
      <c r="C45" s="59" t="s">
        <v>1581</v>
      </c>
      <c r="D45" s="59" t="str">
        <f t="shared" si="0"/>
        <v>/:&amp;-(</v>
      </c>
      <c r="E45" s="59" t="s">
        <v>1725</v>
      </c>
      <c r="F45" s="61" t="s">
        <v>1637</v>
      </c>
      <c r="G45" s="61"/>
      <c r="H45" s="61"/>
      <c r="I45" s="61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</row>
    <row r="46" spans="1:20" ht="21.6" customHeight="1">
      <c r="A46" s="55" t="s">
        <v>1554</v>
      </c>
      <c r="B46" s="55"/>
      <c r="C46" s="59" t="s">
        <v>1582</v>
      </c>
      <c r="D46" s="59" t="str">
        <f t="shared" si="0"/>
        <v>/:B-)</v>
      </c>
      <c r="E46" s="59" t="s">
        <v>1693</v>
      </c>
      <c r="F46" s="61" t="s">
        <v>1638</v>
      </c>
      <c r="G46" s="61"/>
      <c r="H46" s="61"/>
      <c r="I46" s="61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</row>
    <row r="47" spans="1:20" ht="21.6" customHeight="1">
      <c r="A47" s="55" t="s">
        <v>1554</v>
      </c>
      <c r="B47" s="55"/>
      <c r="C47" s="59" t="s">
        <v>1583</v>
      </c>
      <c r="D47" s="59" t="str">
        <f t="shared" si="0"/>
        <v>/:&lt;@</v>
      </c>
      <c r="E47" s="59" t="s">
        <v>1724</v>
      </c>
      <c r="F47" s="59" t="s">
        <v>1639</v>
      </c>
      <c r="G47" s="62"/>
      <c r="H47" s="61"/>
      <c r="I47" s="61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</row>
    <row r="48" spans="1:20" ht="21.6" customHeight="1">
      <c r="A48" s="55" t="s">
        <v>1554</v>
      </c>
      <c r="B48" s="55"/>
      <c r="C48" s="59" t="s">
        <v>1584</v>
      </c>
      <c r="D48" s="59" t="str">
        <f t="shared" si="0"/>
        <v>/:@&gt;</v>
      </c>
      <c r="E48" s="59" t="s">
        <v>1723</v>
      </c>
      <c r="F48" s="59" t="s">
        <v>1639</v>
      </c>
      <c r="G48" s="62"/>
      <c r="H48" s="61"/>
      <c r="I48" s="61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</row>
    <row r="49" spans="1:20" ht="21.6" customHeight="1">
      <c r="A49" s="55" t="s">
        <v>1554</v>
      </c>
      <c r="B49" s="55" t="s">
        <v>1555</v>
      </c>
      <c r="C49" s="70" t="s">
        <v>1585</v>
      </c>
      <c r="D49" s="59" t="str">
        <f t="shared" si="0"/>
        <v>/::-O</v>
      </c>
      <c r="E49" s="59" t="s">
        <v>1694</v>
      </c>
      <c r="F49" s="72" t="s">
        <v>1641</v>
      </c>
      <c r="G49" s="62"/>
      <c r="H49" s="61"/>
      <c r="I49" s="61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</row>
    <row r="50" spans="1:20" ht="21.6" customHeight="1">
      <c r="A50" s="55" t="s">
        <v>1554</v>
      </c>
      <c r="B50" s="55"/>
      <c r="C50" s="59" t="s">
        <v>1586</v>
      </c>
      <c r="D50" s="59" t="str">
        <f t="shared" si="0"/>
        <v>/:&gt;-|</v>
      </c>
      <c r="E50" s="59" t="s">
        <v>1695</v>
      </c>
      <c r="F50" s="59" t="s">
        <v>1640</v>
      </c>
      <c r="G50" s="62"/>
      <c r="H50" s="61"/>
      <c r="I50" s="61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</row>
    <row r="51" spans="1:20" ht="21.6" customHeight="1">
      <c r="A51" s="55" t="s">
        <v>1554</v>
      </c>
      <c r="B51" s="55"/>
      <c r="C51" s="59" t="s">
        <v>1587</v>
      </c>
      <c r="D51" s="59" t="str">
        <f t="shared" si="0"/>
        <v>/:P-(</v>
      </c>
      <c r="E51" s="59" t="s">
        <v>1721</v>
      </c>
      <c r="F51" s="59" t="s">
        <v>1614</v>
      </c>
      <c r="G51" s="62"/>
      <c r="H51" s="61"/>
      <c r="I51" s="62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</row>
    <row r="52" spans="1:20" ht="21.6" customHeight="1">
      <c r="A52" s="55" t="s">
        <v>1554</v>
      </c>
      <c r="B52" s="55" t="s">
        <v>1555</v>
      </c>
      <c r="C52" s="71" t="s">
        <v>1588</v>
      </c>
      <c r="D52" s="59" t="str">
        <f t="shared" si="0"/>
        <v>/::'|</v>
      </c>
      <c r="E52" s="59" t="s">
        <v>1722</v>
      </c>
      <c r="F52" s="59" t="s">
        <v>1614</v>
      </c>
    </row>
    <row r="53" spans="1:20" ht="21.6" customHeight="1">
      <c r="A53" s="55" t="s">
        <v>1554</v>
      </c>
      <c r="B53" s="55"/>
      <c r="C53" s="59" t="s">
        <v>1589</v>
      </c>
      <c r="D53" s="59" t="str">
        <f>A53&amp;B53&amp;C53</f>
        <v>/:X-)</v>
      </c>
      <c r="E53" s="59" t="s">
        <v>1720</v>
      </c>
      <c r="F53" s="59" t="s">
        <v>1642</v>
      </c>
    </row>
    <row r="54" spans="1:20" ht="21.6" customHeight="1">
      <c r="A54" s="55" t="s">
        <v>1554</v>
      </c>
      <c r="B54" s="55" t="s">
        <v>1555</v>
      </c>
      <c r="C54" s="59" t="s">
        <v>1590</v>
      </c>
      <c r="D54" s="59" t="str">
        <f t="shared" ref="D54:D67" si="1">A54&amp;B54&amp;C54</f>
        <v>/::*</v>
      </c>
      <c r="E54" s="59" t="s">
        <v>1696</v>
      </c>
      <c r="F54" s="59" t="s">
        <v>1643</v>
      </c>
    </row>
    <row r="55" spans="1:20" ht="21.6" customHeight="1">
      <c r="A55" s="55" t="s">
        <v>1554</v>
      </c>
      <c r="B55" s="55"/>
      <c r="C55" s="59" t="s">
        <v>1591</v>
      </c>
      <c r="D55" s="59" t="str">
        <f t="shared" si="1"/>
        <v>/:@x</v>
      </c>
      <c r="E55" s="59" t="s">
        <v>1697</v>
      </c>
      <c r="F55" s="59" t="s">
        <v>1623</v>
      </c>
    </row>
    <row r="56" spans="1:20" ht="21.6" customHeight="1">
      <c r="A56" s="55" t="s">
        <v>1554</v>
      </c>
      <c r="B56" s="55"/>
      <c r="C56" s="59" t="s">
        <v>1592</v>
      </c>
      <c r="D56" s="59" t="str">
        <f t="shared" si="1"/>
        <v>/:8*</v>
      </c>
      <c r="E56" s="59" t="s">
        <v>1719</v>
      </c>
      <c r="F56" s="59" t="s">
        <v>1644</v>
      </c>
    </row>
    <row r="57" spans="1:20" ht="21.6" customHeight="1">
      <c r="A57" s="55" t="s">
        <v>1554</v>
      </c>
      <c r="B57" s="55"/>
      <c r="C57" s="59" t="s">
        <v>1593</v>
      </c>
      <c r="D57" s="59" t="str">
        <f t="shared" si="1"/>
        <v>/:pd</v>
      </c>
      <c r="E57" s="59" t="s">
        <v>1718</v>
      </c>
      <c r="F57" s="59" t="s">
        <v>1645</v>
      </c>
    </row>
    <row r="58" spans="1:20" ht="21.6" customHeight="1">
      <c r="A58" s="55" t="s">
        <v>1554</v>
      </c>
      <c r="B58" s="55"/>
      <c r="C58" s="59"/>
      <c r="D58" s="59" t="str">
        <f t="shared" si="1"/>
        <v>/:</v>
      </c>
      <c r="E58" s="59" t="s">
        <v>1554</v>
      </c>
      <c r="F58" s="59" t="s">
        <v>1646</v>
      </c>
    </row>
    <row r="59" spans="1:20" ht="21.6" customHeight="1">
      <c r="A59" s="55" t="s">
        <v>1554</v>
      </c>
      <c r="B59" s="55"/>
      <c r="C59" s="59" t="s">
        <v>1594</v>
      </c>
      <c r="D59" s="59" t="str">
        <f t="shared" si="1"/>
        <v>/:beer</v>
      </c>
      <c r="E59" s="59" t="s">
        <v>1698</v>
      </c>
      <c r="F59" s="59" t="s">
        <v>1647</v>
      </c>
    </row>
    <row r="60" spans="1:20" ht="21.6" customHeight="1">
      <c r="A60" s="55" t="s">
        <v>1554</v>
      </c>
      <c r="B60" s="55"/>
      <c r="C60" s="59" t="s">
        <v>1595</v>
      </c>
      <c r="D60" s="59" t="str">
        <f t="shared" si="1"/>
        <v>/:basketb</v>
      </c>
      <c r="E60" s="59" t="s">
        <v>1699</v>
      </c>
      <c r="F60" s="59" t="s">
        <v>1648</v>
      </c>
    </row>
    <row r="61" spans="1:20" ht="21.6" customHeight="1">
      <c r="A61" s="55" t="s">
        <v>1554</v>
      </c>
      <c r="B61" s="55"/>
      <c r="C61" s="59" t="s">
        <v>1596</v>
      </c>
      <c r="D61" s="59" t="str">
        <f t="shared" si="1"/>
        <v>/:oo</v>
      </c>
      <c r="E61" s="59" t="s">
        <v>1700</v>
      </c>
      <c r="F61" s="59" t="s">
        <v>1649</v>
      </c>
    </row>
    <row r="62" spans="1:20" ht="21.6" customHeight="1">
      <c r="A62" s="55" t="s">
        <v>1554</v>
      </c>
      <c r="B62" s="55"/>
      <c r="C62" s="59" t="s">
        <v>1597</v>
      </c>
      <c r="D62" s="59" t="str">
        <f t="shared" si="1"/>
        <v>/:coffee</v>
      </c>
      <c r="E62" s="59" t="s">
        <v>1701</v>
      </c>
      <c r="F62" s="59" t="s">
        <v>1650</v>
      </c>
    </row>
    <row r="63" spans="1:20" ht="21.6" customHeight="1">
      <c r="A63" s="55" t="s">
        <v>1554</v>
      </c>
      <c r="B63" s="55"/>
      <c r="C63" s="59" t="s">
        <v>1598</v>
      </c>
      <c r="D63" s="59" t="str">
        <f t="shared" si="1"/>
        <v>/:eat</v>
      </c>
      <c r="E63" s="59" t="s">
        <v>1702</v>
      </c>
      <c r="F63" s="59" t="s">
        <v>1651</v>
      </c>
    </row>
    <row r="64" spans="1:20" ht="21.6" customHeight="1">
      <c r="A64" s="55" t="s">
        <v>1554</v>
      </c>
      <c r="B64" s="55"/>
      <c r="C64" s="59" t="s">
        <v>1599</v>
      </c>
      <c r="D64" s="59" t="str">
        <f t="shared" si="1"/>
        <v>/:pig</v>
      </c>
      <c r="E64" s="59" t="s">
        <v>1717</v>
      </c>
      <c r="F64" s="59" t="s">
        <v>1652</v>
      </c>
    </row>
    <row r="65" spans="1:9" ht="21.6" customHeight="1">
      <c r="A65" s="55" t="s">
        <v>1554</v>
      </c>
      <c r="B65" s="55"/>
      <c r="C65" s="59" t="s">
        <v>1600</v>
      </c>
      <c r="D65" s="59" t="str">
        <f t="shared" si="1"/>
        <v>/:rose</v>
      </c>
      <c r="E65" s="59" t="s">
        <v>1703</v>
      </c>
      <c r="F65" s="59" t="s">
        <v>1653</v>
      </c>
    </row>
    <row r="66" spans="1:9" ht="21.6" customHeight="1">
      <c r="A66" s="55" t="s">
        <v>1554</v>
      </c>
      <c r="B66" s="55"/>
      <c r="C66" s="59" t="s">
        <v>1601</v>
      </c>
      <c r="D66" s="59" t="str">
        <f t="shared" si="1"/>
        <v>/:fade</v>
      </c>
      <c r="E66" s="59" t="s">
        <v>1704</v>
      </c>
      <c r="F66" s="59" t="s">
        <v>1654</v>
      </c>
    </row>
    <row r="67" spans="1:9" ht="21.6" customHeight="1">
      <c r="A67" s="55" t="s">
        <v>1554</v>
      </c>
      <c r="B67" s="55"/>
      <c r="C67" s="59" t="s">
        <v>1602</v>
      </c>
      <c r="D67" s="59" t="str">
        <f t="shared" si="1"/>
        <v>/:showlove</v>
      </c>
      <c r="E67" s="59" t="s">
        <v>1713</v>
      </c>
      <c r="F67" s="59" t="s">
        <v>1655</v>
      </c>
    </row>
    <row r="68" spans="1:9" ht="21.6" customHeight="1">
      <c r="A68" s="55" t="s">
        <v>1554</v>
      </c>
      <c r="B68" s="55"/>
      <c r="C68" s="59" t="s">
        <v>1603</v>
      </c>
      <c r="D68" s="59" t="str">
        <f>A68&amp;B68&amp;C68</f>
        <v>/:heart</v>
      </c>
      <c r="E68" s="59" t="s">
        <v>1705</v>
      </c>
      <c r="F68" s="59" t="s">
        <v>1656</v>
      </c>
    </row>
    <row r="69" spans="1:9" ht="21.6" customHeight="1">
      <c r="A69" s="55" t="s">
        <v>1554</v>
      </c>
      <c r="B69" s="55"/>
      <c r="C69" s="59" t="s">
        <v>1604</v>
      </c>
      <c r="D69" s="59" t="str">
        <f>A69&amp;B69&amp;C69</f>
        <v>/:break</v>
      </c>
      <c r="E69" s="59" t="s">
        <v>1714</v>
      </c>
      <c r="F69" s="59" t="s">
        <v>1657</v>
      </c>
    </row>
    <row r="70" spans="1:9" ht="21.6" customHeight="1">
      <c r="A70" s="55" t="s">
        <v>1554</v>
      </c>
      <c r="B70" s="55"/>
      <c r="C70" s="59" t="s">
        <v>1605</v>
      </c>
      <c r="D70" s="59" t="str">
        <f>A70&amp;B70&amp;C70</f>
        <v>/:cake</v>
      </c>
      <c r="E70" s="59" t="s">
        <v>1716</v>
      </c>
      <c r="F70" s="59" t="s">
        <v>1658</v>
      </c>
    </row>
    <row r="71" spans="1:9" ht="21.6" customHeight="1">
      <c r="A71" s="55" t="s">
        <v>1554</v>
      </c>
      <c r="B71" s="55"/>
      <c r="C71" s="59" t="s">
        <v>1606</v>
      </c>
      <c r="D71" s="59" t="str">
        <f>A71&amp;B71&amp;C71</f>
        <v>/:li</v>
      </c>
      <c r="E71" s="59" t="s">
        <v>1715</v>
      </c>
      <c r="F71" s="59" t="s">
        <v>1659</v>
      </c>
    </row>
    <row r="72" spans="1:9" ht="21.6" customHeight="1">
      <c r="A72" s="55" t="s">
        <v>1554</v>
      </c>
      <c r="B72" s="55"/>
      <c r="C72" s="60" t="s">
        <v>1731</v>
      </c>
      <c r="D72" s="59" t="str">
        <f>"/"&amp;C72</f>
        <v>/捂脸</v>
      </c>
      <c r="E72" s="59" t="s">
        <v>1768</v>
      </c>
      <c r="F72" s="59" t="s">
        <v>1659</v>
      </c>
    </row>
    <row r="73" spans="1:9" ht="21.6" customHeight="1">
      <c r="A73" s="55" t="s">
        <v>1554</v>
      </c>
      <c r="B73" s="55"/>
      <c r="C73" s="59" t="s">
        <v>1732</v>
      </c>
      <c r="D73" s="59" t="str">
        <f t="shared" ref="D73:D84" si="2">"/"&amp;C73</f>
        <v>/坏笑</v>
      </c>
      <c r="E73" s="59" t="s">
        <v>1965</v>
      </c>
      <c r="F73" s="59" t="s">
        <v>1659</v>
      </c>
    </row>
    <row r="74" spans="1:9" ht="21.6" customHeight="1">
      <c r="A74" s="55" t="s">
        <v>1554</v>
      </c>
      <c r="B74" s="55"/>
      <c r="C74" s="59" t="s">
        <v>1733</v>
      </c>
      <c r="D74" s="59" t="str">
        <f t="shared" si="2"/>
        <v>/哈哈</v>
      </c>
      <c r="E74" s="59" t="s">
        <v>1966</v>
      </c>
      <c r="F74" s="59" t="s">
        <v>1659</v>
      </c>
      <c r="I74" s="73" t="s">
        <v>1738</v>
      </c>
    </row>
    <row r="75" spans="1:9" ht="21.6" customHeight="1">
      <c r="A75" s="55" t="s">
        <v>1554</v>
      </c>
      <c r="B75" s="55"/>
      <c r="C75" s="59" t="s">
        <v>1734</v>
      </c>
      <c r="D75" s="59" t="str">
        <f t="shared" si="2"/>
        <v>/泪</v>
      </c>
      <c r="E75" s="59" t="s">
        <v>1967</v>
      </c>
      <c r="F75" s="59" t="s">
        <v>1659</v>
      </c>
      <c r="I75" s="73" t="s">
        <v>1739</v>
      </c>
    </row>
    <row r="76" spans="1:9" ht="21.6" customHeight="1">
      <c r="A76" s="55" t="s">
        <v>1554</v>
      </c>
      <c r="B76" s="55"/>
      <c r="C76" s="59" t="s">
        <v>1615</v>
      </c>
      <c r="D76" s="59" t="str">
        <f t="shared" si="2"/>
        <v>/酷</v>
      </c>
      <c r="E76" s="59" t="s">
        <v>1758</v>
      </c>
      <c r="F76" s="59" t="s">
        <v>1659</v>
      </c>
      <c r="I76" s="73" t="s">
        <v>1740</v>
      </c>
    </row>
    <row r="77" spans="1:9" ht="21.6" customHeight="1">
      <c r="A77" s="55" t="s">
        <v>1554</v>
      </c>
      <c r="B77" s="55"/>
      <c r="C77" s="59" t="s">
        <v>1735</v>
      </c>
      <c r="D77" s="59" t="str">
        <f t="shared" si="2"/>
        <v>/大哭</v>
      </c>
      <c r="E77" s="59" t="s">
        <v>1759</v>
      </c>
      <c r="F77" s="59" t="s">
        <v>1659</v>
      </c>
      <c r="I77" s="73" t="s">
        <v>1741</v>
      </c>
    </row>
    <row r="78" spans="1:9" ht="21.6" customHeight="1">
      <c r="A78" s="55" t="s">
        <v>1554</v>
      </c>
      <c r="B78" s="55"/>
      <c r="C78" s="59" t="s">
        <v>1736</v>
      </c>
      <c r="D78" s="59" t="str">
        <f t="shared" si="2"/>
        <v>/咒骂</v>
      </c>
      <c r="E78" s="59" t="s">
        <v>1766</v>
      </c>
      <c r="F78" s="59" t="s">
        <v>1659</v>
      </c>
      <c r="I78" s="73" t="s">
        <v>1742</v>
      </c>
    </row>
    <row r="79" spans="1:9" ht="21.6" customHeight="1">
      <c r="A79" s="55" t="s">
        <v>1554</v>
      </c>
      <c r="B79" s="55"/>
      <c r="C79" s="59" t="s">
        <v>1737</v>
      </c>
      <c r="D79" s="59" t="str">
        <f t="shared" si="2"/>
        <v>/抠鼻</v>
      </c>
      <c r="E79" s="59" t="s">
        <v>1765</v>
      </c>
      <c r="F79" s="59" t="s">
        <v>1659</v>
      </c>
      <c r="I79" s="73" t="s">
        <v>1743</v>
      </c>
    </row>
    <row r="80" spans="1:9" ht="21.6" customHeight="1">
      <c r="C80" s="60" t="s">
        <v>1754</v>
      </c>
      <c r="D80" s="60" t="str">
        <f t="shared" si="2"/>
        <v>/呲牙</v>
      </c>
      <c r="E80" s="60" t="s">
        <v>1769</v>
      </c>
      <c r="I80" s="73" t="s">
        <v>1744</v>
      </c>
    </row>
    <row r="81" spans="2:9" ht="21.6" customHeight="1">
      <c r="C81" s="60" t="s">
        <v>1755</v>
      </c>
      <c r="D81" s="60" t="str">
        <f t="shared" si="2"/>
        <v>/偷笑</v>
      </c>
      <c r="E81" s="60" t="s">
        <v>1764</v>
      </c>
      <c r="I81" s="73" t="s">
        <v>1745</v>
      </c>
    </row>
    <row r="82" spans="2:9" ht="21.6" customHeight="1">
      <c r="C82" s="60" t="s">
        <v>1756</v>
      </c>
      <c r="D82" s="60" t="str">
        <f>"/"&amp;C82</f>
        <v>/强</v>
      </c>
      <c r="E82" s="60" t="s">
        <v>1767</v>
      </c>
      <c r="I82" s="73" t="s">
        <v>1746</v>
      </c>
    </row>
    <row r="83" spans="2:9" ht="21.6" customHeight="1">
      <c r="C83" s="60" t="s">
        <v>1757</v>
      </c>
      <c r="D83" s="60" t="str">
        <f t="shared" si="2"/>
        <v>/玫瑰</v>
      </c>
      <c r="E83" s="60" t="s">
        <v>1760</v>
      </c>
      <c r="I83" s="73" t="s">
        <v>1747</v>
      </c>
    </row>
    <row r="84" spans="2:9" ht="21.6" customHeight="1">
      <c r="C84" s="60" t="s">
        <v>1762</v>
      </c>
      <c r="D84" s="60" t="str">
        <f t="shared" si="2"/>
        <v>/笑哭</v>
      </c>
      <c r="E84" s="60" t="s">
        <v>1763</v>
      </c>
      <c r="I84" s="73" t="s">
        <v>1748</v>
      </c>
    </row>
    <row r="85" spans="2:9" ht="21.6" customHeight="1">
      <c r="I85" s="73" t="s">
        <v>1749</v>
      </c>
    </row>
    <row r="86" spans="2:9" ht="21.6" customHeight="1">
      <c r="I86" s="73" t="s">
        <v>1750</v>
      </c>
    </row>
    <row r="87" spans="2:9" ht="21.6" customHeight="1">
      <c r="I87" s="73" t="s">
        <v>1751</v>
      </c>
    </row>
    <row r="88" spans="2:9" ht="21.6" customHeight="1">
      <c r="I88" s="73" t="s">
        <v>1752</v>
      </c>
    </row>
    <row r="89" spans="2:9" ht="21.6" customHeight="1">
      <c r="I89" s="73" t="s">
        <v>1761</v>
      </c>
    </row>
    <row r="90" spans="2:9" ht="21.6" customHeight="1">
      <c r="I90" s="73" t="s">
        <v>1753</v>
      </c>
    </row>
    <row r="94" spans="2:9" ht="21.6" customHeight="1">
      <c r="B94" s="60"/>
    </row>
    <row r="95" spans="2:9" ht="21.6" customHeight="1">
      <c r="B95" s="60"/>
    </row>
    <row r="96" spans="2:9" ht="21.6" customHeight="1">
      <c r="B96" s="60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30AA-DBD5-480B-BEAE-D7F7C91F465E}">
  <sheetPr codeName="Sheet21"/>
  <dimension ref="A1:O5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8" sqref="D28"/>
    </sheetView>
  </sheetViews>
  <sheetFormatPr defaultColWidth="18.109375" defaultRowHeight="21.6" customHeight="1"/>
  <cols>
    <col min="1" max="1" width="4.44140625" style="100" customWidth="1"/>
    <col min="2" max="14" width="14.77734375" style="76" customWidth="1"/>
    <col min="15" max="16384" width="18.109375" style="76"/>
  </cols>
  <sheetData>
    <row r="1" spans="1:14" s="96" customFormat="1" ht="21.6" customHeight="1">
      <c r="A1" s="97" t="s">
        <v>899</v>
      </c>
      <c r="B1" s="95" t="s">
        <v>1514</v>
      </c>
      <c r="C1" s="95" t="s">
        <v>1999</v>
      </c>
      <c r="D1" s="95" t="s">
        <v>1982</v>
      </c>
      <c r="E1" s="95" t="s">
        <v>1989</v>
      </c>
      <c r="F1" s="95" t="s">
        <v>1785</v>
      </c>
      <c r="G1" s="95" t="s">
        <v>1992</v>
      </c>
      <c r="H1" s="95" t="s">
        <v>2042</v>
      </c>
      <c r="I1" s="95" t="s">
        <v>1515</v>
      </c>
      <c r="J1" s="95" t="s">
        <v>1770</v>
      </c>
      <c r="K1" s="95" t="s">
        <v>1983</v>
      </c>
      <c r="L1" s="95" t="s">
        <v>1971</v>
      </c>
      <c r="M1" s="95" t="s">
        <v>1988</v>
      </c>
      <c r="N1" s="95" t="s">
        <v>1984</v>
      </c>
    </row>
    <row r="2" spans="1:14" ht="21.6" customHeight="1">
      <c r="A2" s="98" t="s">
        <v>1029</v>
      </c>
      <c r="B2" s="74"/>
      <c r="C2" s="74"/>
      <c r="D2" s="75"/>
      <c r="E2" s="114"/>
      <c r="F2" s="102"/>
      <c r="G2" s="74"/>
      <c r="H2" s="75"/>
      <c r="I2" s="102"/>
      <c r="J2" s="101"/>
      <c r="K2" s="75"/>
      <c r="L2" s="75"/>
      <c r="M2" s="75"/>
      <c r="N2" s="74"/>
    </row>
    <row r="3" spans="1:14" ht="21.6" customHeight="1">
      <c r="A3" s="98" t="s">
        <v>1379</v>
      </c>
      <c r="B3" s="77"/>
      <c r="C3" s="77"/>
      <c r="D3" s="74"/>
      <c r="E3" s="114"/>
      <c r="F3" s="103"/>
      <c r="G3" s="77"/>
      <c r="H3" s="74"/>
      <c r="I3" s="103"/>
      <c r="J3" s="102"/>
      <c r="K3" s="75"/>
      <c r="L3" s="74"/>
      <c r="M3" s="74"/>
      <c r="N3" s="77"/>
    </row>
    <row r="4" spans="1:14" ht="21.6" customHeight="1">
      <c r="A4" s="98">
        <v>1</v>
      </c>
      <c r="B4" s="77"/>
      <c r="C4" s="77"/>
      <c r="D4" s="75"/>
      <c r="E4" s="114"/>
      <c r="F4" s="103"/>
      <c r="G4" s="77"/>
      <c r="H4" s="75"/>
      <c r="I4" s="103"/>
      <c r="J4" s="101"/>
      <c r="K4" s="75"/>
      <c r="L4" s="75"/>
      <c r="M4" s="75"/>
      <c r="N4" s="77"/>
    </row>
    <row r="5" spans="1:14" ht="21.6" customHeight="1">
      <c r="A5" s="98">
        <v>2</v>
      </c>
      <c r="B5" s="77"/>
      <c r="C5" s="77"/>
      <c r="D5" s="75"/>
      <c r="E5" s="114"/>
      <c r="F5" s="103"/>
      <c r="G5" s="77"/>
      <c r="H5" s="75"/>
      <c r="I5" s="103"/>
      <c r="J5" s="101"/>
      <c r="K5" s="75"/>
      <c r="L5" s="75"/>
      <c r="M5" s="75"/>
      <c r="N5" s="77"/>
    </row>
    <row r="6" spans="1:14" ht="21.6" customHeight="1">
      <c r="A6" s="98">
        <v>3</v>
      </c>
      <c r="B6" s="74"/>
      <c r="C6" s="74"/>
      <c r="D6" s="78" t="s">
        <v>1960</v>
      </c>
      <c r="E6" s="114"/>
      <c r="F6" s="102"/>
      <c r="G6" s="74"/>
      <c r="H6" s="75"/>
      <c r="I6" s="102"/>
      <c r="J6" s="101"/>
      <c r="K6" s="75"/>
      <c r="L6" s="75"/>
      <c r="M6" s="75"/>
      <c r="N6" s="74"/>
    </row>
    <row r="7" spans="1:14" ht="21.6" customHeight="1">
      <c r="A7" s="98">
        <v>4</v>
      </c>
      <c r="B7" s="74"/>
      <c r="C7" s="74"/>
      <c r="D7" s="79" t="s">
        <v>1959</v>
      </c>
      <c r="E7" s="114"/>
      <c r="F7" s="102"/>
      <c r="G7" s="74"/>
      <c r="H7" s="75"/>
      <c r="I7" s="102"/>
      <c r="J7" s="101"/>
      <c r="K7" s="75"/>
      <c r="L7" s="75"/>
      <c r="M7" s="75"/>
      <c r="N7" s="74"/>
    </row>
    <row r="8" spans="1:14" ht="21.6" customHeight="1">
      <c r="A8" s="98">
        <v>5</v>
      </c>
      <c r="B8" s="74"/>
      <c r="C8" s="74"/>
      <c r="D8" s="75"/>
      <c r="E8" s="114"/>
      <c r="F8" s="102"/>
      <c r="G8" s="74"/>
      <c r="H8" s="75"/>
      <c r="I8" s="102"/>
      <c r="J8" s="101"/>
      <c r="K8" s="75"/>
      <c r="L8" s="75"/>
      <c r="M8" s="75"/>
      <c r="N8" s="74"/>
    </row>
    <row r="9" spans="1:14" ht="21.6" customHeight="1">
      <c r="A9" s="98">
        <v>6</v>
      </c>
      <c r="B9" s="74"/>
      <c r="C9" s="74"/>
      <c r="D9" s="75"/>
      <c r="E9" s="114"/>
      <c r="F9" s="102"/>
      <c r="G9" s="74"/>
      <c r="H9" s="75"/>
      <c r="I9" s="102"/>
      <c r="J9" s="101"/>
      <c r="K9" s="75"/>
      <c r="L9" s="75"/>
      <c r="M9" s="75"/>
      <c r="N9" s="74"/>
    </row>
    <row r="10" spans="1:14" ht="21.6" customHeight="1">
      <c r="A10" s="98">
        <v>7</v>
      </c>
      <c r="B10" s="74"/>
      <c r="C10" s="74"/>
      <c r="D10" s="75"/>
      <c r="E10" s="114"/>
      <c r="F10" s="102"/>
      <c r="G10" s="74"/>
      <c r="H10" s="75"/>
      <c r="I10" s="102"/>
      <c r="J10" s="101"/>
      <c r="K10" s="75"/>
      <c r="L10" s="75"/>
      <c r="M10" s="75"/>
      <c r="N10" s="74"/>
    </row>
    <row r="11" spans="1:14" ht="21.6" customHeight="1">
      <c r="A11" s="98">
        <v>8</v>
      </c>
      <c r="B11" s="74" t="s">
        <v>1030</v>
      </c>
      <c r="C11" s="74"/>
      <c r="D11" s="75"/>
      <c r="E11" s="114"/>
      <c r="F11" s="102"/>
      <c r="G11" s="74"/>
      <c r="H11" s="75"/>
      <c r="I11" s="102"/>
      <c r="J11" s="101"/>
      <c r="K11" s="75"/>
      <c r="L11" s="75"/>
      <c r="M11" s="75"/>
      <c r="N11" s="74"/>
    </row>
    <row r="12" spans="1:14" ht="21.6" customHeight="1">
      <c r="A12" s="98">
        <v>9</v>
      </c>
      <c r="B12" s="74" t="s">
        <v>1030</v>
      </c>
      <c r="C12" s="74"/>
      <c r="D12" s="75"/>
      <c r="E12" s="114"/>
      <c r="F12" s="102"/>
      <c r="G12" s="74"/>
      <c r="H12" s="75"/>
      <c r="I12" s="102"/>
      <c r="J12" s="101"/>
      <c r="K12" s="75"/>
      <c r="L12" s="75"/>
      <c r="M12" s="75"/>
      <c r="N12" s="74"/>
    </row>
    <row r="13" spans="1:14" ht="21.6" customHeight="1">
      <c r="A13" s="98">
        <v>10</v>
      </c>
      <c r="B13" s="74"/>
      <c r="C13" s="74"/>
      <c r="D13" s="75"/>
      <c r="E13" s="114"/>
      <c r="F13" s="102"/>
      <c r="G13" s="74"/>
      <c r="H13" s="75"/>
      <c r="I13" s="102"/>
      <c r="J13" s="101"/>
      <c r="K13" s="75"/>
      <c r="L13" s="75"/>
      <c r="M13" s="75"/>
      <c r="N13" s="74"/>
    </row>
    <row r="14" spans="1:14" ht="21.6" customHeight="1">
      <c r="A14" s="98" t="s">
        <v>1485</v>
      </c>
      <c r="B14" s="74"/>
      <c r="C14" s="74"/>
      <c r="D14" s="74"/>
      <c r="E14" s="114"/>
      <c r="F14" s="102"/>
      <c r="G14" s="74"/>
      <c r="H14" s="74"/>
      <c r="I14" s="102"/>
      <c r="J14" s="102"/>
      <c r="K14" s="75" t="s">
        <v>2130</v>
      </c>
      <c r="L14" s="74"/>
      <c r="M14" s="74" t="s">
        <v>1972</v>
      </c>
      <c r="N14" s="74"/>
    </row>
    <row r="15" spans="1:14" ht="21.6" customHeight="1">
      <c r="A15" s="98" t="s">
        <v>1486</v>
      </c>
      <c r="B15" s="74"/>
      <c r="C15" s="74"/>
      <c r="D15" s="74"/>
      <c r="E15" s="114"/>
      <c r="F15" s="102"/>
      <c r="G15" s="74"/>
      <c r="H15" s="74"/>
      <c r="I15" s="102"/>
      <c r="J15" s="102"/>
      <c r="K15" s="75"/>
      <c r="L15" s="74"/>
      <c r="M15" s="74"/>
      <c r="N15" s="74"/>
    </row>
    <row r="16" spans="1:14" ht="21.6" customHeight="1">
      <c r="A16" s="98" t="s">
        <v>1487</v>
      </c>
      <c r="B16" s="77"/>
      <c r="C16" s="77"/>
      <c r="D16" s="75"/>
      <c r="E16" s="114"/>
      <c r="F16" s="103"/>
      <c r="G16" s="74"/>
      <c r="H16" s="74"/>
      <c r="I16" s="102"/>
      <c r="J16" s="102"/>
      <c r="K16" s="75"/>
      <c r="L16" s="75"/>
      <c r="M16" s="75"/>
      <c r="N16" s="77"/>
    </row>
    <row r="17" spans="1:15" ht="21.6" customHeight="1">
      <c r="A17" s="98" t="s">
        <v>1482</v>
      </c>
      <c r="B17" s="74" t="s">
        <v>1522</v>
      </c>
      <c r="C17" s="74"/>
      <c r="D17" s="74" t="s">
        <v>1543</v>
      </c>
      <c r="E17" s="114"/>
      <c r="F17" s="102"/>
      <c r="G17" s="74"/>
      <c r="H17" s="74"/>
      <c r="I17" s="102"/>
      <c r="J17" s="102"/>
      <c r="K17" s="75"/>
      <c r="L17" s="75"/>
      <c r="M17" s="75" t="s">
        <v>1975</v>
      </c>
      <c r="N17" s="74"/>
    </row>
    <row r="18" spans="1:15" ht="21.6" customHeight="1">
      <c r="A18" s="98" t="s">
        <v>1488</v>
      </c>
      <c r="B18" s="79" t="s">
        <v>2001</v>
      </c>
      <c r="C18" s="74"/>
      <c r="E18" s="114"/>
      <c r="F18" s="106" t="s">
        <v>1783</v>
      </c>
      <c r="G18" s="78"/>
      <c r="H18" s="75"/>
      <c r="I18" s="104"/>
      <c r="J18" s="101"/>
      <c r="K18" s="74"/>
      <c r="L18" s="75"/>
      <c r="M18" s="75" t="s">
        <v>1975</v>
      </c>
      <c r="N18" s="76" t="s">
        <v>1783</v>
      </c>
    </row>
    <row r="19" spans="1:15" ht="21.6" customHeight="1">
      <c r="A19" s="98" t="s">
        <v>1489</v>
      </c>
      <c r="B19" s="74" t="s">
        <v>1523</v>
      </c>
      <c r="C19" s="74"/>
      <c r="D19" s="74"/>
      <c r="E19" s="114"/>
      <c r="F19" s="101"/>
      <c r="G19" s="74"/>
      <c r="H19" s="75"/>
      <c r="I19" s="102"/>
      <c r="J19" s="101"/>
      <c r="K19" s="74"/>
      <c r="L19" s="75"/>
      <c r="M19" s="75"/>
      <c r="N19" s="75"/>
    </row>
    <row r="20" spans="1:15" ht="21.6" customHeight="1">
      <c r="A20" s="98" t="s">
        <v>1490</v>
      </c>
      <c r="B20" s="74" t="s">
        <v>1527</v>
      </c>
      <c r="C20" s="79" t="s">
        <v>1541</v>
      </c>
      <c r="D20" s="74" t="s">
        <v>1521</v>
      </c>
      <c r="E20" s="114"/>
      <c r="F20" s="101"/>
      <c r="G20" s="74"/>
      <c r="H20" s="75"/>
      <c r="I20" s="102"/>
      <c r="J20" s="101"/>
      <c r="K20" s="74" t="s">
        <v>1528</v>
      </c>
      <c r="L20" s="75"/>
      <c r="M20" s="75" t="s">
        <v>1974</v>
      </c>
      <c r="N20" s="75"/>
    </row>
    <row r="21" spans="1:15" ht="21.6" customHeight="1">
      <c r="A21" s="98" t="s">
        <v>1491</v>
      </c>
      <c r="B21" s="78" t="s">
        <v>1778</v>
      </c>
      <c r="C21" s="74"/>
      <c r="D21" s="78" t="s">
        <v>1779</v>
      </c>
      <c r="E21" s="114"/>
      <c r="F21" s="101"/>
      <c r="G21" s="78"/>
      <c r="H21" s="75"/>
      <c r="I21" s="104"/>
      <c r="J21" s="101"/>
      <c r="K21" s="74"/>
      <c r="L21" s="75"/>
      <c r="M21" s="75" t="s">
        <v>1974</v>
      </c>
      <c r="N21" s="75"/>
    </row>
    <row r="22" spans="1:15" ht="21.6" customHeight="1">
      <c r="A22" s="98" t="s">
        <v>1345</v>
      </c>
      <c r="B22" s="77" t="s">
        <v>1774</v>
      </c>
      <c r="C22" s="77"/>
      <c r="D22" s="80"/>
      <c r="E22" s="114"/>
      <c r="F22" s="101"/>
      <c r="G22" s="77"/>
      <c r="H22" s="75"/>
      <c r="I22" s="103"/>
      <c r="J22" s="101"/>
      <c r="K22" s="74"/>
      <c r="L22" s="75"/>
      <c r="M22" s="75"/>
      <c r="N22" s="75"/>
    </row>
    <row r="23" spans="1:15" ht="21.6" customHeight="1">
      <c r="A23" s="98" t="s">
        <v>1492</v>
      </c>
      <c r="B23" s="81" t="s">
        <v>1535</v>
      </c>
      <c r="C23" s="77"/>
      <c r="D23" s="115" t="s">
        <v>1537</v>
      </c>
      <c r="E23" s="114"/>
      <c r="F23" s="101"/>
      <c r="G23" s="81"/>
      <c r="H23" s="75"/>
      <c r="I23" s="114"/>
      <c r="J23" s="101" t="s">
        <v>1973</v>
      </c>
      <c r="K23" s="80" t="s">
        <v>1536</v>
      </c>
      <c r="L23" s="75"/>
      <c r="M23" s="75"/>
      <c r="N23" s="75"/>
    </row>
    <row r="24" spans="1:15" ht="21.6" customHeight="1">
      <c r="A24" s="98" t="s">
        <v>1348</v>
      </c>
      <c r="B24" s="77" t="s">
        <v>1773</v>
      </c>
      <c r="C24" s="77"/>
      <c r="D24" s="75"/>
      <c r="E24" s="103"/>
      <c r="F24" s="101"/>
      <c r="G24" s="77"/>
      <c r="H24" s="75"/>
      <c r="I24" s="103"/>
      <c r="J24" s="101"/>
      <c r="K24" s="74"/>
      <c r="L24" s="75"/>
      <c r="M24" s="75" t="s">
        <v>1963</v>
      </c>
      <c r="N24" s="75"/>
    </row>
    <row r="25" spans="1:15" ht="21.6" customHeight="1">
      <c r="A25" s="98" t="s">
        <v>1349</v>
      </c>
      <c r="B25" s="74" t="s">
        <v>1542</v>
      </c>
      <c r="C25" s="77"/>
      <c r="D25" s="75"/>
      <c r="E25" s="103"/>
      <c r="F25" s="101"/>
      <c r="G25" s="77"/>
      <c r="H25" s="75"/>
      <c r="I25" s="103"/>
      <c r="J25" s="101"/>
      <c r="K25" s="74"/>
      <c r="L25" s="75"/>
      <c r="M25" s="75"/>
      <c r="N25" s="75"/>
    </row>
    <row r="26" spans="1:15" ht="21.6" customHeight="1">
      <c r="A26" s="98" t="s">
        <v>1493</v>
      </c>
      <c r="B26" s="77" t="s">
        <v>1526</v>
      </c>
      <c r="C26" s="77"/>
      <c r="D26" s="116" t="s">
        <v>1964</v>
      </c>
      <c r="E26" s="103"/>
      <c r="F26" s="101" t="s">
        <v>1978</v>
      </c>
      <c r="G26" s="77"/>
      <c r="H26" s="75"/>
      <c r="I26" s="103"/>
      <c r="J26" s="101" t="s">
        <v>1976</v>
      </c>
      <c r="K26" s="82"/>
      <c r="L26" s="75"/>
      <c r="M26" s="75" t="s">
        <v>1979</v>
      </c>
      <c r="N26" s="75" t="s">
        <v>1978</v>
      </c>
    </row>
    <row r="27" spans="1:15" ht="21.6" customHeight="1">
      <c r="A27" s="98" t="s">
        <v>1494</v>
      </c>
      <c r="B27" s="77" t="s">
        <v>1525</v>
      </c>
      <c r="C27" s="77"/>
      <c r="D27" s="75" t="s">
        <v>1538</v>
      </c>
      <c r="E27" s="103"/>
      <c r="F27" s="101"/>
      <c r="G27" s="77"/>
      <c r="H27" s="75"/>
      <c r="I27" s="103"/>
      <c r="J27" s="101" t="s">
        <v>1977</v>
      </c>
      <c r="K27" s="74"/>
      <c r="L27" s="75"/>
      <c r="M27" s="75"/>
      <c r="N27" s="75"/>
    </row>
    <row r="28" spans="1:15" ht="21.6" customHeight="1">
      <c r="A28" s="98" t="s">
        <v>1346</v>
      </c>
      <c r="B28" s="77"/>
      <c r="C28" s="77"/>
      <c r="D28" s="75" t="s">
        <v>1962</v>
      </c>
      <c r="E28" s="103"/>
      <c r="F28" s="101"/>
      <c r="G28" s="77"/>
      <c r="H28" s="75"/>
      <c r="I28" s="103"/>
      <c r="J28" s="101"/>
      <c r="K28" s="75"/>
      <c r="L28" s="75"/>
      <c r="M28" s="75" t="s">
        <v>1981</v>
      </c>
      <c r="N28" s="75"/>
    </row>
    <row r="29" spans="1:15" ht="21.6" customHeight="1">
      <c r="A29" s="98" t="s">
        <v>1347</v>
      </c>
      <c r="B29" s="77" t="s">
        <v>1775</v>
      </c>
      <c r="C29" s="77"/>
      <c r="D29" s="75" t="s">
        <v>1961</v>
      </c>
      <c r="E29" s="103"/>
      <c r="F29" s="101"/>
      <c r="G29" s="77"/>
      <c r="H29" s="75"/>
      <c r="I29" s="103"/>
      <c r="J29" s="101"/>
      <c r="K29" s="75"/>
      <c r="L29" s="75"/>
      <c r="M29" s="75"/>
      <c r="N29" s="75"/>
    </row>
    <row r="30" spans="1:15" ht="21.6" customHeight="1">
      <c r="A30" s="98" t="s">
        <v>1344</v>
      </c>
      <c r="B30" s="107" t="s">
        <v>1780</v>
      </c>
      <c r="C30" s="77"/>
      <c r="D30" s="109" t="s">
        <v>1544</v>
      </c>
      <c r="E30" s="107" t="s">
        <v>1997</v>
      </c>
      <c r="F30" s="109" t="s">
        <v>1998</v>
      </c>
      <c r="G30" s="109" t="s">
        <v>1996</v>
      </c>
      <c r="H30" s="109" t="s">
        <v>1995</v>
      </c>
      <c r="I30" s="102"/>
      <c r="J30" s="104"/>
      <c r="K30" s="74"/>
      <c r="L30" s="78"/>
      <c r="M30" s="78"/>
      <c r="N30" s="78" t="s">
        <v>1786</v>
      </c>
      <c r="O30" s="104" t="s">
        <v>1786</v>
      </c>
    </row>
    <row r="31" spans="1:15" ht="21.6" customHeight="1">
      <c r="A31" s="98" t="s">
        <v>1495</v>
      </c>
      <c r="B31" s="78" t="s">
        <v>2129</v>
      </c>
      <c r="C31" s="74" t="s">
        <v>1531</v>
      </c>
      <c r="D31" s="74" t="s">
        <v>1529</v>
      </c>
      <c r="E31" s="102"/>
      <c r="F31" s="101" t="s">
        <v>1782</v>
      </c>
      <c r="G31" s="74"/>
      <c r="H31" s="79"/>
      <c r="I31" s="102"/>
      <c r="J31" s="105" t="s">
        <v>1771</v>
      </c>
      <c r="K31" s="74" t="s">
        <v>1530</v>
      </c>
      <c r="L31" s="79"/>
      <c r="M31" s="79" t="s">
        <v>1771</v>
      </c>
      <c r="N31" s="75" t="s">
        <v>1782</v>
      </c>
    </row>
    <row r="32" spans="1:15" ht="21.6" customHeight="1">
      <c r="A32" s="98" t="s">
        <v>1496</v>
      </c>
      <c r="B32" s="74" t="s">
        <v>1532</v>
      </c>
      <c r="C32" s="74"/>
      <c r="D32" s="74"/>
      <c r="E32" s="102"/>
      <c r="F32" s="102"/>
      <c r="G32" s="74"/>
      <c r="H32" s="74"/>
      <c r="I32" s="102"/>
      <c r="J32" s="102"/>
      <c r="K32" s="74"/>
      <c r="L32" s="74"/>
      <c r="M32" s="74"/>
      <c r="N32" s="74"/>
    </row>
    <row r="33" spans="1:14" ht="21.6" customHeight="1">
      <c r="A33" s="98" t="s">
        <v>1497</v>
      </c>
      <c r="B33" s="74" t="s">
        <v>1524</v>
      </c>
      <c r="C33" s="74"/>
      <c r="D33" s="74" t="s">
        <v>1534</v>
      </c>
      <c r="E33" s="102"/>
      <c r="F33" s="102" t="s">
        <v>1784</v>
      </c>
      <c r="G33" s="74"/>
      <c r="H33" s="74"/>
      <c r="I33" s="102"/>
      <c r="J33" s="102"/>
      <c r="K33" s="75" t="s">
        <v>1533</v>
      </c>
      <c r="L33" s="74"/>
      <c r="M33" s="74"/>
      <c r="N33" s="74" t="s">
        <v>1784</v>
      </c>
    </row>
    <row r="34" spans="1:14" ht="21.6" customHeight="1">
      <c r="A34" s="98" t="s">
        <v>1498</v>
      </c>
      <c r="B34" s="74"/>
      <c r="C34" s="74"/>
      <c r="D34" s="75"/>
      <c r="E34" s="102"/>
      <c r="F34" s="101"/>
      <c r="G34" s="74" t="s">
        <v>2128</v>
      </c>
      <c r="H34" s="75"/>
      <c r="I34" s="102"/>
      <c r="J34" s="101"/>
      <c r="K34" s="75"/>
      <c r="L34" s="75"/>
      <c r="M34" s="75"/>
      <c r="N34" s="75"/>
    </row>
    <row r="35" spans="1:14" ht="21.6" customHeight="1">
      <c r="A35" s="98" t="s">
        <v>1499</v>
      </c>
      <c r="B35" s="74" t="s">
        <v>1545</v>
      </c>
      <c r="C35" s="74"/>
      <c r="D35" s="75" t="s">
        <v>1969</v>
      </c>
      <c r="E35" s="102"/>
      <c r="F35" s="101"/>
      <c r="G35" s="74"/>
      <c r="H35" s="75"/>
      <c r="I35" s="102"/>
      <c r="J35" s="101"/>
      <c r="K35" s="75" t="s">
        <v>1968</v>
      </c>
      <c r="L35" s="75"/>
      <c r="M35" s="75"/>
      <c r="N35" s="75"/>
    </row>
    <row r="36" spans="1:14" ht="21.6" customHeight="1">
      <c r="A36" s="98" t="s">
        <v>1500</v>
      </c>
      <c r="B36" s="108" t="s">
        <v>1520</v>
      </c>
      <c r="C36" s="107" t="s">
        <v>2000</v>
      </c>
      <c r="D36" s="117" t="s">
        <v>1990</v>
      </c>
      <c r="E36" s="110" t="s">
        <v>1993</v>
      </c>
      <c r="F36" s="110" t="s">
        <v>1994</v>
      </c>
      <c r="G36" s="109" t="s">
        <v>1970</v>
      </c>
      <c r="H36" s="107" t="s">
        <v>1991</v>
      </c>
      <c r="I36" s="102"/>
      <c r="J36" s="101"/>
      <c r="K36" s="74"/>
      <c r="L36" s="79"/>
      <c r="M36" s="78"/>
      <c r="N36" s="78" t="s">
        <v>1781</v>
      </c>
    </row>
    <row r="37" spans="1:14" ht="21.6" customHeight="1">
      <c r="A37" s="98" t="s">
        <v>1501</v>
      </c>
      <c r="B37" s="74"/>
      <c r="C37" s="74"/>
      <c r="D37" s="75"/>
      <c r="E37" s="102"/>
      <c r="F37" s="102"/>
      <c r="G37" s="74"/>
      <c r="H37" s="75"/>
      <c r="I37" s="102"/>
      <c r="J37" s="101" t="s">
        <v>1772</v>
      </c>
      <c r="K37" s="74"/>
      <c r="L37" s="75"/>
      <c r="M37" s="75" t="s">
        <v>1772</v>
      </c>
      <c r="N37" s="74"/>
    </row>
    <row r="38" spans="1:14" ht="21.6" customHeight="1">
      <c r="A38" s="98" t="s">
        <v>1502</v>
      </c>
      <c r="B38" s="79" t="s">
        <v>1539</v>
      </c>
      <c r="C38" s="74"/>
      <c r="D38" s="79" t="s">
        <v>1540</v>
      </c>
      <c r="E38" s="105"/>
      <c r="F38" s="102"/>
      <c r="G38" s="79"/>
      <c r="H38" s="79"/>
      <c r="I38" s="105"/>
      <c r="J38" s="105"/>
      <c r="K38" s="75" t="s">
        <v>1777</v>
      </c>
      <c r="L38" s="79"/>
      <c r="M38" s="79"/>
      <c r="N38" s="74"/>
    </row>
    <row r="39" spans="1:14" ht="21.6" customHeight="1">
      <c r="A39" s="98" t="s">
        <v>1503</v>
      </c>
      <c r="B39" s="74"/>
      <c r="C39" s="74"/>
      <c r="D39" s="75"/>
      <c r="E39" s="102"/>
      <c r="F39" s="102"/>
      <c r="G39" s="74"/>
      <c r="H39" s="75"/>
      <c r="I39" s="102"/>
      <c r="J39" s="101"/>
      <c r="K39" s="75"/>
      <c r="L39" s="75"/>
      <c r="M39" s="75"/>
      <c r="N39" s="74"/>
    </row>
    <row r="40" spans="1:14" ht="21.6" customHeight="1">
      <c r="A40" s="98" t="s">
        <v>1504</v>
      </c>
      <c r="B40" s="74"/>
      <c r="C40" s="74"/>
      <c r="D40" s="75"/>
      <c r="E40" s="102"/>
      <c r="F40" s="102"/>
      <c r="G40" s="74"/>
      <c r="H40" s="75"/>
      <c r="I40" s="102"/>
      <c r="J40" s="101"/>
      <c r="K40" s="75"/>
      <c r="L40" s="75"/>
      <c r="M40" s="75"/>
      <c r="N40" s="74"/>
    </row>
    <row r="41" spans="1:14" ht="21.6" customHeight="1">
      <c r="A41" s="98" t="s">
        <v>1505</v>
      </c>
      <c r="B41" s="74"/>
      <c r="C41" s="74"/>
      <c r="D41" s="75"/>
      <c r="E41" s="102"/>
      <c r="F41" s="102"/>
      <c r="G41" s="74"/>
      <c r="H41" s="75"/>
      <c r="I41" s="102"/>
      <c r="J41" s="101"/>
      <c r="K41" s="75"/>
      <c r="L41" s="75"/>
      <c r="M41" s="75"/>
      <c r="N41" s="74"/>
    </row>
    <row r="42" spans="1:14" ht="21.6" customHeight="1">
      <c r="A42" s="98" t="s">
        <v>1506</v>
      </c>
      <c r="B42" s="74"/>
      <c r="C42" s="74"/>
      <c r="D42" s="79" t="s">
        <v>1986</v>
      </c>
      <c r="E42" s="102"/>
      <c r="F42" s="102"/>
      <c r="G42" s="74"/>
      <c r="H42" s="79" t="s">
        <v>1970</v>
      </c>
      <c r="I42" s="102"/>
      <c r="J42" s="105" t="s">
        <v>1987</v>
      </c>
      <c r="K42" s="76" t="s">
        <v>1985</v>
      </c>
      <c r="L42" s="75"/>
      <c r="M42" s="75"/>
      <c r="N42" s="74"/>
    </row>
    <row r="43" spans="1:14" ht="21.6" customHeight="1">
      <c r="A43" s="98" t="s">
        <v>1350</v>
      </c>
      <c r="B43" s="74"/>
      <c r="C43" s="74"/>
      <c r="D43" s="75"/>
      <c r="E43" s="102"/>
      <c r="F43" s="102"/>
      <c r="G43" s="74"/>
      <c r="H43" s="75"/>
      <c r="I43" s="102"/>
      <c r="J43" s="101"/>
      <c r="K43" s="75"/>
      <c r="L43" s="75"/>
      <c r="M43" s="75"/>
      <c r="N43" s="74"/>
    </row>
    <row r="44" spans="1:14" ht="21.6" customHeight="1">
      <c r="A44" s="99" t="s">
        <v>1351</v>
      </c>
      <c r="B44" s="74"/>
      <c r="C44" s="74"/>
      <c r="D44" s="75"/>
      <c r="E44" s="102"/>
      <c r="F44" s="102"/>
      <c r="G44" s="74"/>
      <c r="H44" s="75"/>
      <c r="I44" s="102"/>
      <c r="J44" s="101"/>
      <c r="K44" s="75"/>
      <c r="L44" s="75"/>
      <c r="M44" s="75" t="s">
        <v>1980</v>
      </c>
      <c r="N44" s="74"/>
    </row>
    <row r="45" spans="1:14" ht="21.6" customHeight="1">
      <c r="A45" s="98" t="s">
        <v>1507</v>
      </c>
      <c r="B45" s="74"/>
      <c r="C45" s="74"/>
      <c r="D45" s="75"/>
      <c r="E45" s="102"/>
      <c r="F45" s="102"/>
      <c r="G45" s="74"/>
      <c r="H45" s="75"/>
      <c r="I45" s="102"/>
      <c r="J45" s="101"/>
      <c r="K45" s="75"/>
      <c r="L45" s="75"/>
      <c r="M45" s="75"/>
      <c r="N45" s="74"/>
    </row>
    <row r="46" spans="1:14" ht="21.6" customHeight="1">
      <c r="A46" s="98" t="s">
        <v>1508</v>
      </c>
      <c r="B46" s="74"/>
      <c r="C46" s="74"/>
      <c r="D46" s="75"/>
      <c r="E46" s="102"/>
      <c r="F46" s="104" t="s">
        <v>1781</v>
      </c>
      <c r="G46" s="74"/>
      <c r="H46" s="75"/>
      <c r="I46" s="102"/>
      <c r="J46" s="101"/>
      <c r="K46" s="75"/>
      <c r="L46" s="75"/>
      <c r="M46" s="75"/>
      <c r="N46" s="74"/>
    </row>
    <row r="47" spans="1:14" ht="21.6" customHeight="1">
      <c r="A47" s="98" t="s">
        <v>1509</v>
      </c>
      <c r="B47" s="74"/>
      <c r="C47" s="74"/>
      <c r="D47" s="75"/>
      <c r="E47" s="102"/>
      <c r="F47" s="102"/>
      <c r="G47" s="74"/>
      <c r="H47" s="75"/>
      <c r="I47" s="102"/>
      <c r="J47" s="101"/>
      <c r="K47" s="75"/>
      <c r="L47" s="75"/>
      <c r="M47" s="75"/>
      <c r="N47" s="74"/>
    </row>
    <row r="48" spans="1:14" ht="21.6" customHeight="1">
      <c r="A48" s="98" t="s">
        <v>1029</v>
      </c>
      <c r="B48" s="74"/>
      <c r="C48" s="74"/>
      <c r="D48" s="75"/>
      <c r="E48" s="102"/>
      <c r="F48" s="102"/>
      <c r="G48" s="74"/>
      <c r="H48" s="75"/>
      <c r="I48" s="102"/>
      <c r="J48" s="101"/>
      <c r="K48" s="75"/>
      <c r="L48" s="75"/>
      <c r="M48" s="75"/>
      <c r="N48" s="74"/>
    </row>
    <row r="49" spans="1:14" ht="21.6" customHeight="1">
      <c r="A49" s="98" t="s">
        <v>1335</v>
      </c>
      <c r="B49" s="74"/>
      <c r="C49" s="74"/>
      <c r="D49" s="75"/>
      <c r="E49" s="102"/>
      <c r="F49" s="102"/>
      <c r="G49" s="74"/>
      <c r="H49" s="75"/>
      <c r="I49" s="102"/>
      <c r="J49" s="101"/>
      <c r="K49" s="75"/>
      <c r="L49" s="75"/>
      <c r="M49" s="75"/>
      <c r="N49" s="74"/>
    </row>
    <row r="50" spans="1:14" ht="21.6" customHeight="1">
      <c r="A50" s="98" t="s">
        <v>1513</v>
      </c>
      <c r="B50" s="74"/>
      <c r="C50" s="74"/>
      <c r="D50" s="75"/>
      <c r="E50" s="102"/>
      <c r="F50" s="102"/>
      <c r="G50" s="74"/>
      <c r="H50" s="75"/>
      <c r="I50" s="102"/>
      <c r="J50" s="101"/>
      <c r="K50" s="75"/>
      <c r="L50" s="75"/>
      <c r="M50" s="75"/>
      <c r="N50" s="74"/>
    </row>
    <row r="51" spans="1:14" ht="21.6" customHeight="1">
      <c r="A51" s="98" t="s">
        <v>1510</v>
      </c>
      <c r="B51" s="77"/>
      <c r="C51" s="77"/>
      <c r="D51" s="75"/>
      <c r="E51" s="103"/>
      <c r="F51" s="103"/>
      <c r="G51" s="77"/>
      <c r="H51" s="75"/>
      <c r="I51" s="103"/>
      <c r="J51" s="101"/>
      <c r="K51" s="75"/>
      <c r="L51" s="75"/>
      <c r="M51" s="75"/>
      <c r="N51" s="77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F06F4-AB34-45E6-83FA-50B2C5367626}">
  <sheetPr codeName="Sheet22"/>
  <dimension ref="A1:G70"/>
  <sheetViews>
    <sheetView showGridLines="0" zoomScaleNormal="100" workbookViewId="0">
      <pane xSplit="3" ySplit="1" topLeftCell="D11" activePane="bottomRight" state="frozen"/>
      <selection pane="topRight" activeCell="B1" sqref="B1"/>
      <selection pane="bottomLeft" activeCell="A2" sqref="A2"/>
      <selection pane="bottomRight" activeCell="H1" sqref="H1:Z1048576"/>
    </sheetView>
  </sheetViews>
  <sheetFormatPr defaultColWidth="8.88671875" defaultRowHeight="21.6" customHeight="1"/>
  <cols>
    <col min="1" max="3" width="31.6640625" style="8" customWidth="1"/>
    <col min="4" max="4" width="51.109375" style="1" customWidth="1"/>
    <col min="5" max="5" width="50.77734375" style="1" customWidth="1"/>
    <col min="6" max="6" width="47.44140625" style="1" customWidth="1"/>
    <col min="7" max="16384" width="8.88671875" style="1"/>
  </cols>
  <sheetData>
    <row r="1" spans="1:6" s="45" customFormat="1" ht="21.6" customHeight="1">
      <c r="A1" s="44" t="s">
        <v>899</v>
      </c>
      <c r="B1" s="44" t="s">
        <v>1451</v>
      </c>
      <c r="C1" s="44" t="s">
        <v>899</v>
      </c>
      <c r="D1" s="44" t="s">
        <v>1384</v>
      </c>
      <c r="E1" s="44" t="s">
        <v>1384</v>
      </c>
      <c r="F1" s="45" t="s">
        <v>1423</v>
      </c>
    </row>
    <row r="2" spans="1:6" ht="21.6" customHeight="1">
      <c r="A2" s="40"/>
      <c r="B2" s="54" t="s">
        <v>1452</v>
      </c>
      <c r="C2" s="40" t="s">
        <v>1415</v>
      </c>
      <c r="D2" s="40" t="s">
        <v>1422</v>
      </c>
      <c r="E2" s="40" t="str">
        <f xml:space="preserve"> D2 &amp; "()"</f>
        <v xml:space="preserve">			keyFunc_EnglishLayout()</v>
      </c>
      <c r="F2" s="40" t="s">
        <v>1442</v>
      </c>
    </row>
    <row r="3" spans="1:6" ht="21.6" customHeight="1">
      <c r="A3" s="40"/>
      <c r="B3" s="54" t="s">
        <v>1452</v>
      </c>
      <c r="C3" s="40" t="s">
        <v>1416</v>
      </c>
      <c r="D3" s="40" t="s">
        <v>1409</v>
      </c>
      <c r="E3" s="40" t="str">
        <f t="shared" ref="E3:E59" si="0" xml:space="preserve"> D3 &amp; "()"</f>
        <v>keyFunc_EnglishUpperLayout()</v>
      </c>
      <c r="F3" s="40" t="s">
        <v>1424</v>
      </c>
    </row>
    <row r="4" spans="1:6" ht="21.6" customHeight="1">
      <c r="A4" s="40"/>
      <c r="B4" s="54" t="s">
        <v>1452</v>
      </c>
      <c r="C4" s="40" t="s">
        <v>1417</v>
      </c>
      <c r="D4" s="40" t="s">
        <v>1410</v>
      </c>
      <c r="E4" s="40" t="str">
        <f t="shared" si="0"/>
        <v>keyFunc_ChineseLayout()</v>
      </c>
      <c r="F4" s="40" t="s">
        <v>1425</v>
      </c>
    </row>
    <row r="5" spans="1:6" ht="21.6" customHeight="1">
      <c r="A5" s="40" t="s">
        <v>1449</v>
      </c>
      <c r="B5" s="54" t="s">
        <v>1452</v>
      </c>
      <c r="C5" s="40" t="s">
        <v>247</v>
      </c>
      <c r="D5" s="40" t="s">
        <v>902</v>
      </c>
      <c r="E5" s="40" t="str">
        <f t="shared" si="0"/>
        <v>keyFunc_Copy()</v>
      </c>
      <c r="F5" s="40" t="s">
        <v>1275</v>
      </c>
    </row>
    <row r="6" spans="1:6" ht="21.6" customHeight="1">
      <c r="A6" s="40" t="s">
        <v>1450</v>
      </c>
      <c r="B6" s="54" t="s">
        <v>1452</v>
      </c>
      <c r="C6" s="40" t="s">
        <v>245</v>
      </c>
      <c r="D6" s="40" t="s">
        <v>904</v>
      </c>
      <c r="E6" s="40" t="str">
        <f t="shared" si="0"/>
        <v>keyFunc_Cut()</v>
      </c>
      <c r="F6" s="40" t="s">
        <v>1276</v>
      </c>
    </row>
    <row r="7" spans="1:6" ht="21.6" customHeight="1">
      <c r="A7" s="40" t="s">
        <v>1448</v>
      </c>
      <c r="B7" s="54" t="s">
        <v>1452</v>
      </c>
      <c r="C7" s="40" t="s">
        <v>40</v>
      </c>
      <c r="D7" s="40" t="s">
        <v>906</v>
      </c>
      <c r="E7" s="40" t="str">
        <f t="shared" si="0"/>
        <v>keyFunc_Paste()</v>
      </c>
      <c r="F7" s="40" t="s">
        <v>1277</v>
      </c>
    </row>
    <row r="8" spans="1:6" ht="21.6" customHeight="1">
      <c r="A8" s="48" t="s">
        <v>1446</v>
      </c>
      <c r="B8" s="54" t="s">
        <v>1452</v>
      </c>
      <c r="C8" s="48" t="s">
        <v>33</v>
      </c>
      <c r="D8" s="48" t="s">
        <v>908</v>
      </c>
      <c r="E8" s="40" t="str">
        <f t="shared" si="0"/>
        <v>keyFunc_Undo()</v>
      </c>
      <c r="F8" s="40" t="s">
        <v>1426</v>
      </c>
    </row>
    <row r="9" spans="1:6" ht="21.6" customHeight="1">
      <c r="A9" s="40" t="s">
        <v>1447</v>
      </c>
      <c r="B9" s="54" t="s">
        <v>1452</v>
      </c>
      <c r="C9" s="40" t="s">
        <v>35</v>
      </c>
      <c r="D9" s="40" t="s">
        <v>910</v>
      </c>
      <c r="E9" s="40" t="str">
        <f t="shared" si="0"/>
        <v>keyFunc_Redo()</v>
      </c>
      <c r="F9" s="40" t="s">
        <v>1427</v>
      </c>
    </row>
    <row r="10" spans="1:6" ht="21.6" customHeight="1">
      <c r="A10" s="40" t="s">
        <v>1445</v>
      </c>
      <c r="B10" s="54" t="s">
        <v>1452</v>
      </c>
      <c r="C10" s="40" t="s">
        <v>1418</v>
      </c>
      <c r="D10" s="40" t="s">
        <v>1411</v>
      </c>
      <c r="E10" s="40" t="str">
        <f t="shared" si="0"/>
        <v>keyFunc_closeWindow()</v>
      </c>
      <c r="F10" s="40" t="s">
        <v>1428</v>
      </c>
    </row>
    <row r="11" spans="1:6" ht="21.6" customHeight="1">
      <c r="A11" s="40" t="s">
        <v>1444</v>
      </c>
      <c r="B11" s="54" t="s">
        <v>1452</v>
      </c>
      <c r="C11" s="40" t="s">
        <v>32</v>
      </c>
      <c r="D11" s="40" t="s">
        <v>914</v>
      </c>
      <c r="E11" s="40" t="str">
        <f t="shared" si="0"/>
        <v>keyFunc_Enter()</v>
      </c>
      <c r="F11" s="40" t="s">
        <v>1429</v>
      </c>
    </row>
    <row r="12" spans="1:6" ht="21.6" customHeight="1">
      <c r="A12" s="40"/>
      <c r="B12" s="54" t="s">
        <v>1452</v>
      </c>
      <c r="C12" s="40" t="s">
        <v>1032</v>
      </c>
      <c r="D12" s="40" t="s">
        <v>916</v>
      </c>
      <c r="E12" s="40" t="str">
        <f t="shared" si="0"/>
        <v>keyFunc_Backspace()</v>
      </c>
      <c r="F12" s="40" t="s">
        <v>1430</v>
      </c>
    </row>
    <row r="13" spans="1:6" ht="21.6" customHeight="1">
      <c r="A13" s="40"/>
      <c r="B13" s="54" t="s">
        <v>1452</v>
      </c>
      <c r="C13" s="40" t="s">
        <v>1033</v>
      </c>
      <c r="D13" s="40" t="s">
        <v>918</v>
      </c>
      <c r="E13" s="40" t="str">
        <f t="shared" si="0"/>
        <v>keyFunc_ESC()</v>
      </c>
      <c r="F13" s="40" t="s">
        <v>1431</v>
      </c>
    </row>
    <row r="14" spans="1:6" ht="21.6" customHeight="1">
      <c r="A14" s="40"/>
      <c r="B14" s="54" t="s">
        <v>1452</v>
      </c>
      <c r="C14" s="40" t="s">
        <v>1026</v>
      </c>
      <c r="D14" s="40" t="s">
        <v>922</v>
      </c>
      <c r="E14" s="40" t="str">
        <f t="shared" si="0"/>
        <v>keyFunc_Save()</v>
      </c>
      <c r="F14" s="40" t="s">
        <v>1432</v>
      </c>
    </row>
    <row r="15" spans="1:6" ht="21.6" customHeight="1">
      <c r="A15" s="40"/>
      <c r="B15" s="54" t="s">
        <v>1452</v>
      </c>
      <c r="C15" s="40" t="s">
        <v>1027</v>
      </c>
      <c r="D15" s="40" t="s">
        <v>1421</v>
      </c>
      <c r="E15" s="40" t="str">
        <f t="shared" si="0"/>
        <v>keyFunc_SaveAs()</v>
      </c>
      <c r="F15" s="40" t="s">
        <v>1433</v>
      </c>
    </row>
    <row r="16" spans="1:6" ht="21.6" customHeight="1">
      <c r="A16" s="40"/>
      <c r="B16" s="54" t="s">
        <v>1452</v>
      </c>
      <c r="C16" s="40" t="s">
        <v>1034</v>
      </c>
      <c r="D16" s="40" t="s">
        <v>930</v>
      </c>
      <c r="E16" s="40" t="str">
        <f t="shared" si="0"/>
        <v>keyFunc_toggleCapsLock()</v>
      </c>
      <c r="F16" s="40" t="s">
        <v>1434</v>
      </c>
    </row>
    <row r="17" spans="1:7" ht="21.6" customHeight="1">
      <c r="A17" s="40"/>
      <c r="B17" s="54" t="s">
        <v>1452</v>
      </c>
      <c r="C17" s="40" t="s">
        <v>1028</v>
      </c>
      <c r="D17" s="40" t="s">
        <v>931</v>
      </c>
      <c r="E17" s="40" t="str">
        <f t="shared" si="0"/>
        <v>keyFunc_delete()</v>
      </c>
      <c r="F17" s="40" t="s">
        <v>1435</v>
      </c>
    </row>
    <row r="18" spans="1:7" ht="21.6" customHeight="1">
      <c r="A18" s="40"/>
      <c r="B18" s="54" t="s">
        <v>1452</v>
      </c>
      <c r="C18" s="40" t="s">
        <v>1035</v>
      </c>
      <c r="D18" s="40" t="s">
        <v>933</v>
      </c>
      <c r="E18" s="40" t="str">
        <f t="shared" si="0"/>
        <v>keyFunc_end()</v>
      </c>
      <c r="F18" s="40" t="s">
        <v>1436</v>
      </c>
    </row>
    <row r="19" spans="1:7" ht="21.6" customHeight="1">
      <c r="A19" s="40"/>
      <c r="B19" s="54" t="s">
        <v>1452</v>
      </c>
      <c r="C19" s="40" t="s">
        <v>1036</v>
      </c>
      <c r="D19" s="40" t="s">
        <v>935</v>
      </c>
      <c r="E19" s="40" t="str">
        <f t="shared" si="0"/>
        <v>keyFunc_home()</v>
      </c>
      <c r="F19" s="40" t="s">
        <v>1437</v>
      </c>
    </row>
    <row r="20" spans="1:7" ht="21.6" customHeight="1">
      <c r="A20" s="40"/>
      <c r="B20" s="54" t="s">
        <v>1452</v>
      </c>
      <c r="C20" s="40" t="s">
        <v>1419</v>
      </c>
      <c r="D20" s="40" t="s">
        <v>1412</v>
      </c>
      <c r="E20" s="40" t="str">
        <f t="shared" si="0"/>
        <v>keyFunc_PgUp()</v>
      </c>
      <c r="F20" s="40" t="s">
        <v>1438</v>
      </c>
    </row>
    <row r="21" spans="1:7" ht="21.6" customHeight="1">
      <c r="A21" s="40"/>
      <c r="B21" s="54" t="s">
        <v>1452</v>
      </c>
      <c r="C21" s="40" t="s">
        <v>1420</v>
      </c>
      <c r="D21" s="40" t="s">
        <v>1413</v>
      </c>
      <c r="E21" s="40" t="str">
        <f t="shared" si="0"/>
        <v>keyFunc_PgDn()</v>
      </c>
      <c r="F21" s="40" t="s">
        <v>1439</v>
      </c>
      <c r="G21" s="1" t="s">
        <v>1030</v>
      </c>
    </row>
    <row r="22" spans="1:7" ht="21.6" customHeight="1">
      <c r="A22" s="40"/>
      <c r="B22" s="54" t="s">
        <v>1452</v>
      </c>
      <c r="C22" s="40" t="s">
        <v>1443</v>
      </c>
      <c r="D22" s="40" t="s">
        <v>1414</v>
      </c>
      <c r="E22" s="40" t="str">
        <f t="shared" si="0"/>
        <v>keyFunc_pageMoveUp()</v>
      </c>
      <c r="F22" s="40" t="s">
        <v>1440</v>
      </c>
    </row>
    <row r="23" spans="1:7" ht="21.6" customHeight="1">
      <c r="A23" s="40"/>
      <c r="B23" s="54" t="s">
        <v>1452</v>
      </c>
      <c r="C23" s="40"/>
      <c r="D23" s="40" t="s">
        <v>1453</v>
      </c>
      <c r="E23" s="40" t="str">
        <f t="shared" si="0"/>
        <v>keyFunc_HotKeyUp()</v>
      </c>
      <c r="F23" s="40" t="s">
        <v>1441</v>
      </c>
    </row>
    <row r="24" spans="1:7" ht="21.6" customHeight="1">
      <c r="A24" s="40"/>
      <c r="B24" s="54" t="s">
        <v>1452</v>
      </c>
      <c r="C24" s="40"/>
      <c r="D24" s="40"/>
      <c r="E24" s="40" t="s">
        <v>1454</v>
      </c>
      <c r="F24" s="1" t="s">
        <v>1441</v>
      </c>
    </row>
    <row r="25" spans="1:7" ht="21.6" customHeight="1">
      <c r="A25" s="40"/>
      <c r="B25" s="54" t="s">
        <v>1452</v>
      </c>
      <c r="C25" s="40"/>
      <c r="D25" s="40"/>
      <c r="E25" s="40" t="s">
        <v>1424</v>
      </c>
      <c r="F25" s="1" t="s">
        <v>1441</v>
      </c>
    </row>
    <row r="26" spans="1:7" ht="21.6" customHeight="1">
      <c r="A26" s="40"/>
      <c r="B26" s="54" t="s">
        <v>1452</v>
      </c>
      <c r="C26" s="40"/>
      <c r="D26" s="40" t="s">
        <v>1410</v>
      </c>
      <c r="E26" s="40" t="str">
        <f t="shared" si="0"/>
        <v>keyFunc_ChineseLayout()</v>
      </c>
      <c r="F26" s="1" t="s">
        <v>1441</v>
      </c>
    </row>
    <row r="27" spans="1:7" ht="21.6" customHeight="1">
      <c r="A27" s="40"/>
      <c r="B27" s="54" t="s">
        <v>1452</v>
      </c>
      <c r="C27" s="40"/>
      <c r="D27" s="40" t="s">
        <v>1475</v>
      </c>
      <c r="E27" s="40" t="str">
        <f t="shared" si="0"/>
        <v>keyFunc_winClose()</v>
      </c>
      <c r="F27" s="1" t="s">
        <v>1441</v>
      </c>
    </row>
    <row r="28" spans="1:7" ht="21.6" customHeight="1">
      <c r="A28" s="40"/>
      <c r="B28" s="54" t="s">
        <v>1452</v>
      </c>
      <c r="C28" s="40"/>
      <c r="D28" s="40" t="s">
        <v>1455</v>
      </c>
      <c r="E28" s="40" t="str">
        <f t="shared" si="0"/>
        <v>keyFunc_CapsLock()</v>
      </c>
      <c r="F28" s="1" t="s">
        <v>1441</v>
      </c>
    </row>
    <row r="29" spans="1:7" ht="21.6" customHeight="1">
      <c r="A29" s="40"/>
      <c r="B29" s="54" t="s">
        <v>1452</v>
      </c>
      <c r="C29" s="40"/>
      <c r="D29" s="40" t="s">
        <v>1456</v>
      </c>
      <c r="E29" s="40" t="str">
        <f t="shared" si="0"/>
        <v>keyFunc_ctrlPgUp()</v>
      </c>
      <c r="F29" s="1" t="s">
        <v>1441</v>
      </c>
    </row>
    <row r="30" spans="1:7" ht="21.6" customHeight="1">
      <c r="A30" s="40"/>
      <c r="B30" s="54" t="s">
        <v>1452</v>
      </c>
      <c r="C30" s="40"/>
      <c r="D30" s="40" t="s">
        <v>1457</v>
      </c>
      <c r="E30" s="40" t="str">
        <f t="shared" si="0"/>
        <v>keyFunc_ctrlPgDn()</v>
      </c>
      <c r="F30" s="1" t="s">
        <v>1441</v>
      </c>
    </row>
    <row r="31" spans="1:7" ht="21.6" customHeight="1">
      <c r="A31" s="40"/>
      <c r="B31" s="54" t="s">
        <v>1452</v>
      </c>
      <c r="C31" s="40"/>
      <c r="D31" s="40" t="s">
        <v>1458</v>
      </c>
      <c r="E31" s="40" t="str">
        <f t="shared" si="0"/>
        <v>keyFunc_ctrlHome()</v>
      </c>
      <c r="F31" s="1" t="s">
        <v>1441</v>
      </c>
    </row>
    <row r="32" spans="1:7" ht="21.6" customHeight="1">
      <c r="A32" s="40"/>
      <c r="B32" s="40"/>
      <c r="C32" s="40"/>
      <c r="D32" s="40" t="s">
        <v>1459</v>
      </c>
      <c r="E32" s="40" t="str">
        <f t="shared" si="0"/>
        <v>keyFunc_ctrlEnd()</v>
      </c>
      <c r="F32" s="1" t="s">
        <v>1441</v>
      </c>
    </row>
    <row r="33" spans="1:6" ht="21.6" customHeight="1">
      <c r="A33" s="40"/>
      <c r="B33" s="40"/>
      <c r="C33" s="40"/>
      <c r="D33" s="40" t="s">
        <v>1460</v>
      </c>
      <c r="E33" s="40" t="str">
        <f t="shared" si="0"/>
        <v>keyFunc_deleteLine()</v>
      </c>
      <c r="F33" s="1" t="s">
        <v>1441</v>
      </c>
    </row>
    <row r="34" spans="1:6" ht="21.6" customHeight="1">
      <c r="A34" s="40"/>
      <c r="B34" s="40"/>
      <c r="C34" s="40"/>
      <c r="D34" s="40" t="s">
        <v>1461</v>
      </c>
      <c r="E34" s="40" t="str">
        <f t="shared" si="0"/>
        <v>keyFunc_deleteToLineBeginning()</v>
      </c>
      <c r="F34" s="1" t="s">
        <v>1441</v>
      </c>
    </row>
    <row r="35" spans="1:6" ht="21.6" customHeight="1">
      <c r="A35" s="40"/>
      <c r="B35" s="40"/>
      <c r="C35" s="40"/>
      <c r="D35" s="40" t="s">
        <v>1462</v>
      </c>
      <c r="E35" s="40" t="str">
        <f t="shared" si="0"/>
        <v>keyFunc_deleteToLineEnd()</v>
      </c>
      <c r="F35" s="1" t="s">
        <v>1441</v>
      </c>
    </row>
    <row r="36" spans="1:6" ht="21.6" customHeight="1">
      <c r="A36" s="40"/>
      <c r="B36" s="40"/>
      <c r="C36" s="40"/>
      <c r="D36" s="40" t="s">
        <v>1463</v>
      </c>
      <c r="E36" s="40" t="str">
        <f t="shared" si="0"/>
        <v>keyFunc_deleteToPageBeginning()</v>
      </c>
      <c r="F36" s="1" t="s">
        <v>1441</v>
      </c>
    </row>
    <row r="37" spans="1:6" ht="21.6" customHeight="1">
      <c r="A37" s="40"/>
      <c r="B37" s="40"/>
      <c r="C37" s="40"/>
      <c r="D37" s="40" t="s">
        <v>1464</v>
      </c>
      <c r="E37" s="40" t="str">
        <f t="shared" si="0"/>
        <v>keyFunc_deleteToPageEnd()</v>
      </c>
      <c r="F37" s="1" t="s">
        <v>1441</v>
      </c>
    </row>
    <row r="38" spans="1:6" ht="21.6" customHeight="1">
      <c r="A38" s="40"/>
      <c r="B38" s="40"/>
      <c r="C38" s="40"/>
      <c r="D38" s="40" t="s">
        <v>1465</v>
      </c>
      <c r="E38" s="40" t="str">
        <f t="shared" si="0"/>
        <v>keyFunc_enterWherever()</v>
      </c>
      <c r="F38" s="1" t="s">
        <v>1441</v>
      </c>
    </row>
    <row r="39" spans="1:6" ht="21.6" customHeight="1">
      <c r="A39" s="40"/>
      <c r="B39" s="40"/>
      <c r="C39" s="40"/>
      <c r="D39" s="40" t="s">
        <v>1466</v>
      </c>
      <c r="E39" s="40" t="str">
        <f t="shared" si="0"/>
        <v>keyFunc_shiftTab()</v>
      </c>
      <c r="F39" s="1" t="s">
        <v>1441</v>
      </c>
    </row>
    <row r="40" spans="1:6" ht="21.6" customHeight="1">
      <c r="A40" s="40"/>
      <c r="B40" s="40"/>
      <c r="C40" s="40"/>
      <c r="D40" s="40" t="s">
        <v>1477</v>
      </c>
      <c r="E40" s="40" t="str">
        <f t="shared" si="0"/>
        <v>keyFunc_winMin()</v>
      </c>
      <c r="F40" s="1" t="s">
        <v>1441</v>
      </c>
    </row>
    <row r="41" spans="1:6" ht="21.6" customHeight="1">
      <c r="A41" s="40"/>
      <c r="B41" s="40"/>
      <c r="C41" s="40"/>
      <c r="D41" s="40" t="s">
        <v>1476</v>
      </c>
      <c r="E41" s="40" t="str">
        <f t="shared" si="0"/>
        <v>keyFunc_moveWindowToNextMonitor()</v>
      </c>
      <c r="F41" s="1" t="s">
        <v>1441</v>
      </c>
    </row>
    <row r="42" spans="1:6" ht="21.6" customHeight="1">
      <c r="A42" s="40"/>
      <c r="B42" s="40"/>
      <c r="C42" s="40"/>
      <c r="D42" s="40" t="s">
        <v>1467</v>
      </c>
      <c r="E42" s="40" t="str">
        <f t="shared" si="0"/>
        <v>keyFunc_winRestore()</v>
      </c>
      <c r="F42" s="1" t="s">
        <v>1441</v>
      </c>
    </row>
    <row r="43" spans="1:6" ht="21.6" customHeight="1">
      <c r="A43" s="40"/>
      <c r="B43" s="40"/>
      <c r="C43" s="40"/>
      <c r="D43" s="40" t="s">
        <v>1468</v>
      </c>
      <c r="E43" s="40" t="str">
        <f t="shared" si="0"/>
        <v>keyFunc_Shutdown()</v>
      </c>
      <c r="F43" s="1" t="s">
        <v>1441</v>
      </c>
    </row>
    <row r="44" spans="1:6" ht="21.6" customHeight="1">
      <c r="A44" s="40"/>
      <c r="B44" s="40"/>
      <c r="C44" s="40"/>
      <c r="D44" s="40" t="s">
        <v>1469</v>
      </c>
      <c r="E44" s="40" t="str">
        <f t="shared" si="0"/>
        <v>keyFunc_Restart()</v>
      </c>
      <c r="F44" s="1" t="s">
        <v>1441</v>
      </c>
    </row>
    <row r="45" spans="1:6" ht="21.6" customHeight="1">
      <c r="A45" s="40"/>
      <c r="B45" s="40"/>
      <c r="C45" s="40"/>
      <c r="D45" s="40" t="s">
        <v>1470</v>
      </c>
      <c r="E45" s="40" t="str">
        <f t="shared" si="0"/>
        <v>keyFunc_Logout()</v>
      </c>
      <c r="F45" s="1" t="s">
        <v>1441</v>
      </c>
    </row>
    <row r="46" spans="1:6" ht="21.6" customHeight="1">
      <c r="A46" s="40"/>
      <c r="B46" s="40"/>
      <c r="C46" s="40"/>
      <c r="D46" s="40" t="s">
        <v>1471</v>
      </c>
      <c r="E46" s="40" t="str">
        <f t="shared" si="0"/>
        <v>keyFunc_snapWindowLeft()</v>
      </c>
      <c r="F46" s="1" t="s">
        <v>1441</v>
      </c>
    </row>
    <row r="47" spans="1:6" ht="21.6" customHeight="1">
      <c r="A47" s="40"/>
      <c r="B47" s="40"/>
      <c r="C47" s="40"/>
      <c r="D47" s="40" t="s">
        <v>1472</v>
      </c>
      <c r="E47" s="40" t="str">
        <f t="shared" si="0"/>
        <v>keyFunc_snapWindowRight()</v>
      </c>
      <c r="F47" s="1" t="s">
        <v>1441</v>
      </c>
    </row>
    <row r="48" spans="1:6" ht="21.6" customHeight="1">
      <c r="A48" s="40"/>
      <c r="B48" s="40"/>
      <c r="C48" s="40"/>
      <c r="D48" s="40" t="s">
        <v>1473</v>
      </c>
      <c r="E48" s="40" t="str">
        <f t="shared" si="0"/>
        <v>keyFunc_showDesktop()</v>
      </c>
      <c r="F48" s="1" t="s">
        <v>1441</v>
      </c>
    </row>
    <row r="49" spans="1:6" ht="21.6" customHeight="1">
      <c r="A49" s="40"/>
      <c r="B49" s="40"/>
      <c r="C49" s="40"/>
      <c r="D49" s="40" t="s">
        <v>1474</v>
      </c>
      <c r="E49" s="40" t="str">
        <f t="shared" si="0"/>
        <v>keyFunc_openRunDialog()</v>
      </c>
      <c r="F49" s="1" t="s">
        <v>1441</v>
      </c>
    </row>
    <row r="50" spans="1:6" ht="21.6" customHeight="1">
      <c r="A50" s="40"/>
      <c r="B50" s="40"/>
      <c r="C50" s="40"/>
      <c r="D50" s="40"/>
      <c r="E50" s="40" t="str">
        <f t="shared" si="0"/>
        <v>()</v>
      </c>
      <c r="F50" s="1" t="s">
        <v>1441</v>
      </c>
    </row>
    <row r="51" spans="1:6" ht="21.6" customHeight="1">
      <c r="A51" s="40"/>
      <c r="B51" s="40"/>
      <c r="C51" s="40"/>
      <c r="D51" s="40"/>
      <c r="E51" s="40" t="str">
        <f t="shared" si="0"/>
        <v>()</v>
      </c>
      <c r="F51" s="1" t="s">
        <v>1441</v>
      </c>
    </row>
    <row r="52" spans="1:6" ht="21.6" customHeight="1">
      <c r="A52" s="40"/>
      <c r="B52" s="40"/>
      <c r="C52" s="40"/>
      <c r="D52" s="40"/>
      <c r="E52" s="40" t="str">
        <f t="shared" si="0"/>
        <v>()</v>
      </c>
      <c r="F52" s="1" t="s">
        <v>1441</v>
      </c>
    </row>
    <row r="53" spans="1:6" ht="21.6" customHeight="1">
      <c r="A53" s="40"/>
      <c r="B53" s="40"/>
      <c r="C53" s="40"/>
      <c r="D53" s="40"/>
      <c r="E53" s="40" t="str">
        <f t="shared" si="0"/>
        <v>()</v>
      </c>
      <c r="F53" s="1" t="s">
        <v>1441</v>
      </c>
    </row>
    <row r="54" spans="1:6" ht="21.6" customHeight="1">
      <c r="A54" s="40"/>
      <c r="B54" s="40"/>
      <c r="C54" s="40"/>
      <c r="D54" s="40"/>
      <c r="E54" s="40" t="str">
        <f t="shared" si="0"/>
        <v>()</v>
      </c>
      <c r="F54" s="1" t="s">
        <v>1441</v>
      </c>
    </row>
    <row r="55" spans="1:6" ht="21.6" customHeight="1">
      <c r="A55" s="40"/>
      <c r="B55" s="40"/>
      <c r="C55" s="40"/>
      <c r="D55" s="40"/>
      <c r="E55" s="40" t="str">
        <f t="shared" si="0"/>
        <v>()</v>
      </c>
      <c r="F55" s="1" t="s">
        <v>1441</v>
      </c>
    </row>
    <row r="56" spans="1:6" ht="21.6" customHeight="1">
      <c r="A56" s="40"/>
      <c r="B56" s="40"/>
      <c r="C56" s="40"/>
      <c r="D56" s="40"/>
      <c r="E56" s="40" t="str">
        <f t="shared" si="0"/>
        <v>()</v>
      </c>
      <c r="F56" s="1" t="s">
        <v>1441</v>
      </c>
    </row>
    <row r="57" spans="1:6" ht="21.6" customHeight="1">
      <c r="A57" s="40"/>
      <c r="B57" s="40"/>
      <c r="C57" s="40"/>
      <c r="D57" s="40"/>
      <c r="E57" s="40" t="str">
        <f t="shared" si="0"/>
        <v>()</v>
      </c>
      <c r="F57" s="1" t="s">
        <v>1441</v>
      </c>
    </row>
    <row r="58" spans="1:6" ht="21.6" customHeight="1">
      <c r="A58" s="40"/>
      <c r="B58" s="40"/>
      <c r="C58" s="40"/>
      <c r="D58" s="40"/>
      <c r="E58" s="40" t="str">
        <f t="shared" si="0"/>
        <v>()</v>
      </c>
      <c r="F58" s="1" t="s">
        <v>1441</v>
      </c>
    </row>
    <row r="59" spans="1:6" ht="21.6" customHeight="1">
      <c r="A59" s="40"/>
      <c r="B59" s="40"/>
      <c r="C59" s="40"/>
      <c r="D59" s="40"/>
      <c r="E59" s="40" t="str">
        <f t="shared" si="0"/>
        <v>()</v>
      </c>
      <c r="F59" s="1" t="s">
        <v>1441</v>
      </c>
    </row>
    <row r="60" spans="1:6" ht="21.6" customHeight="1">
      <c r="A60" s="40"/>
      <c r="B60" s="40"/>
      <c r="C60" s="40"/>
      <c r="D60" s="40"/>
      <c r="E60" s="40" t="str">
        <f t="shared" ref="E60:E66" si="1" xml:space="preserve"> "         " &amp; D60 &amp; "()"</f>
        <v xml:space="preserve">         ()</v>
      </c>
      <c r="F60" s="1" t="s">
        <v>1441</v>
      </c>
    </row>
    <row r="61" spans="1:6" ht="21.6" customHeight="1">
      <c r="A61" s="40"/>
      <c r="B61" s="40"/>
      <c r="C61" s="40"/>
      <c r="D61" s="40"/>
      <c r="E61" s="40" t="str">
        <f t="shared" si="1"/>
        <v xml:space="preserve">         ()</v>
      </c>
      <c r="F61" s="1" t="s">
        <v>1441</v>
      </c>
    </row>
    <row r="62" spans="1:6" ht="21.6" customHeight="1">
      <c r="A62" s="40"/>
      <c r="B62" s="40"/>
      <c r="C62" s="40"/>
      <c r="D62" s="40"/>
      <c r="E62" s="40" t="str">
        <f t="shared" si="1"/>
        <v xml:space="preserve">         ()</v>
      </c>
      <c r="F62" s="1" t="s">
        <v>1441</v>
      </c>
    </row>
    <row r="63" spans="1:6" ht="21.6" customHeight="1">
      <c r="A63" s="40"/>
      <c r="B63" s="40"/>
      <c r="C63" s="40"/>
      <c r="D63" s="40"/>
      <c r="E63" s="40" t="str">
        <f t="shared" si="1"/>
        <v xml:space="preserve">         ()</v>
      </c>
      <c r="F63" s="1" t="s">
        <v>1441</v>
      </c>
    </row>
    <row r="64" spans="1:6" ht="21.6" customHeight="1">
      <c r="A64" s="40"/>
      <c r="B64" s="40"/>
      <c r="C64" s="40"/>
      <c r="D64" s="40"/>
      <c r="E64" s="40" t="str">
        <f t="shared" si="1"/>
        <v xml:space="preserve">         ()</v>
      </c>
      <c r="F64" s="1" t="s">
        <v>1441</v>
      </c>
    </row>
    <row r="65" spans="1:6" ht="21.6" customHeight="1">
      <c r="A65" s="40"/>
      <c r="B65" s="40"/>
      <c r="C65" s="40"/>
      <c r="D65" s="40"/>
      <c r="E65" s="40" t="str">
        <f t="shared" si="1"/>
        <v xml:space="preserve">         ()</v>
      </c>
      <c r="F65" s="1" t="s">
        <v>1441</v>
      </c>
    </row>
    <row r="66" spans="1:6" ht="21.6" customHeight="1">
      <c r="A66" s="40"/>
      <c r="B66" s="40"/>
      <c r="C66" s="40"/>
      <c r="D66" s="40"/>
      <c r="E66" s="40" t="str">
        <f t="shared" si="1"/>
        <v xml:space="preserve">         ()</v>
      </c>
      <c r="F66" s="1" t="s">
        <v>1441</v>
      </c>
    </row>
    <row r="67" spans="1:6" ht="21.6" customHeight="1">
      <c r="A67" s="40"/>
      <c r="B67" s="40"/>
      <c r="C67" s="40"/>
      <c r="D67" s="40"/>
      <c r="E67" s="40" t="str">
        <f xml:space="preserve"> "         " &amp; D67 &amp; "()"</f>
        <v xml:space="preserve">         ()</v>
      </c>
      <c r="F67" s="1" t="s">
        <v>1441</v>
      </c>
    </row>
    <row r="68" spans="1:6" ht="21.6" customHeight="1">
      <c r="A68" s="40"/>
      <c r="B68" s="40"/>
      <c r="C68" s="40"/>
      <c r="D68" s="40"/>
      <c r="E68" s="40" t="str">
        <f xml:space="preserve"> "         " &amp; D68 &amp; "()"</f>
        <v xml:space="preserve">         ()</v>
      </c>
      <c r="F68" s="1" t="s">
        <v>1441</v>
      </c>
    </row>
    <row r="69" spans="1:6" ht="21.6" customHeight="1">
      <c r="A69" s="40"/>
      <c r="B69" s="40"/>
      <c r="C69" s="40"/>
      <c r="D69" s="40"/>
      <c r="E69" s="40" t="str">
        <f xml:space="preserve"> "         " &amp; D69 &amp; "()"</f>
        <v xml:space="preserve">         ()</v>
      </c>
      <c r="F69" s="1" t="s">
        <v>1441</v>
      </c>
    </row>
    <row r="70" spans="1:6" ht="21.6" customHeight="1">
      <c r="A70" s="40"/>
      <c r="B70" s="40"/>
      <c r="C70" s="40"/>
      <c r="D70" s="40"/>
      <c r="E70" s="40" t="str">
        <f xml:space="preserve"> "         " &amp; D70 &amp; "()"</f>
        <v xml:space="preserve">         ()</v>
      </c>
      <c r="F70" s="1" t="s">
        <v>1441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3C59-329D-41F1-B1E5-A75D48A1F660}">
  <sheetPr codeName="Sheet23"/>
  <dimension ref="A1:B44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7" sqref="A17:A35"/>
    </sheetView>
  </sheetViews>
  <sheetFormatPr defaultColWidth="8.88671875" defaultRowHeight="21.6" customHeight="1"/>
  <cols>
    <col min="1" max="1" width="31.6640625" style="8" customWidth="1"/>
    <col min="2" max="2" width="51.109375" style="1" customWidth="1"/>
    <col min="3" max="16384" width="8.88671875" style="1"/>
  </cols>
  <sheetData>
    <row r="1" spans="1:2" s="45" customFormat="1" ht="21.6" customHeight="1">
      <c r="A1" s="44" t="s">
        <v>899</v>
      </c>
      <c r="B1" s="44" t="s">
        <v>1384</v>
      </c>
    </row>
    <row r="2" spans="1:2" ht="21.6" customHeight="1">
      <c r="A2" s="46" t="s">
        <v>1385</v>
      </c>
      <c r="B2" s="40"/>
    </row>
    <row r="3" spans="1:2" ht="21.6" customHeight="1">
      <c r="A3" s="46" t="s">
        <v>1320</v>
      </c>
      <c r="B3" s="40"/>
    </row>
    <row r="4" spans="1:2" ht="21.6" customHeight="1">
      <c r="A4" s="46" t="s">
        <v>1337</v>
      </c>
      <c r="B4" s="40"/>
    </row>
    <row r="5" spans="1:2" ht="21.6" customHeight="1">
      <c r="A5" s="46" t="s">
        <v>1386</v>
      </c>
      <c r="B5" s="40"/>
    </row>
    <row r="6" spans="1:2" ht="21.6" customHeight="1">
      <c r="A6" s="46" t="s">
        <v>1324</v>
      </c>
      <c r="B6" s="40"/>
    </row>
    <row r="7" spans="1:2" ht="21.6" customHeight="1">
      <c r="A7" s="46" t="s">
        <v>1387</v>
      </c>
      <c r="B7" s="40"/>
    </row>
    <row r="8" spans="1:2" ht="21.6" customHeight="1">
      <c r="A8" s="46" t="s">
        <v>1341</v>
      </c>
      <c r="B8" s="40"/>
    </row>
    <row r="9" spans="1:2" ht="21.6" customHeight="1">
      <c r="A9" s="46" t="s">
        <v>1381</v>
      </c>
      <c r="B9" s="40"/>
    </row>
    <row r="10" spans="1:2" ht="21.6" customHeight="1">
      <c r="A10" s="46" t="s">
        <v>1406</v>
      </c>
      <c r="B10" s="40"/>
    </row>
    <row r="11" spans="1:2" ht="21.6" customHeight="1">
      <c r="A11" s="46" t="s">
        <v>1336</v>
      </c>
      <c r="B11" s="40"/>
    </row>
    <row r="12" spans="1:2" ht="21.6" customHeight="1">
      <c r="A12" s="46" t="s">
        <v>1388</v>
      </c>
      <c r="B12" s="40"/>
    </row>
    <row r="13" spans="1:2" ht="21.6" customHeight="1">
      <c r="A13" s="46" t="s">
        <v>1389</v>
      </c>
      <c r="B13" s="40"/>
    </row>
    <row r="14" spans="1:2" ht="21.6" customHeight="1">
      <c r="A14" s="46" t="s">
        <v>1390</v>
      </c>
      <c r="B14" s="40"/>
    </row>
    <row r="15" spans="1:2" ht="21.6" customHeight="1">
      <c r="A15" s="46" t="s">
        <v>1391</v>
      </c>
      <c r="B15" s="40"/>
    </row>
    <row r="16" spans="1:2" ht="21.6" customHeight="1">
      <c r="A16" s="46" t="s">
        <v>1343</v>
      </c>
      <c r="B16" s="40"/>
    </row>
    <row r="17" spans="1:2" ht="21.6" customHeight="1">
      <c r="A17" s="46" t="s">
        <v>1392</v>
      </c>
      <c r="B17" s="40"/>
    </row>
    <row r="18" spans="1:2" ht="21.6" customHeight="1">
      <c r="A18" s="46" t="s">
        <v>1393</v>
      </c>
      <c r="B18" s="40"/>
    </row>
    <row r="19" spans="1:2" ht="21.6" customHeight="1">
      <c r="A19" s="46" t="s">
        <v>1340</v>
      </c>
      <c r="B19" s="40"/>
    </row>
    <row r="20" spans="1:2" ht="21.6" customHeight="1">
      <c r="A20" s="46" t="s">
        <v>1394</v>
      </c>
      <c r="B20" s="40"/>
    </row>
    <row r="21" spans="1:2" ht="21.6" customHeight="1">
      <c r="A21" s="46" t="s">
        <v>1395</v>
      </c>
      <c r="B21" s="42"/>
    </row>
    <row r="22" spans="1:2" ht="21.6" customHeight="1">
      <c r="A22" s="46" t="s">
        <v>1397</v>
      </c>
      <c r="B22" s="42"/>
    </row>
    <row r="23" spans="1:2" ht="21.6" customHeight="1">
      <c r="A23" s="46" t="s">
        <v>1396</v>
      </c>
      <c r="B23" s="40"/>
    </row>
    <row r="24" spans="1:2" ht="21.6" customHeight="1">
      <c r="A24" s="46" t="s">
        <v>1398</v>
      </c>
      <c r="B24" s="40"/>
    </row>
    <row r="25" spans="1:2" ht="21.6" customHeight="1">
      <c r="A25" s="46" t="s">
        <v>1399</v>
      </c>
      <c r="B25" s="40"/>
    </row>
    <row r="26" spans="1:2" ht="21.6" customHeight="1">
      <c r="A26" s="46" t="s">
        <v>1400</v>
      </c>
      <c r="B26" s="40"/>
    </row>
    <row r="27" spans="1:2" ht="21.6" customHeight="1">
      <c r="A27" s="46" t="s">
        <v>1401</v>
      </c>
      <c r="B27" s="40"/>
    </row>
    <row r="28" spans="1:2" ht="21.6" customHeight="1">
      <c r="A28" s="46" t="s">
        <v>1338</v>
      </c>
      <c r="B28" s="40"/>
    </row>
    <row r="29" spans="1:2" ht="21.6" customHeight="1">
      <c r="A29" s="47" t="s">
        <v>1402</v>
      </c>
      <c r="B29" s="48"/>
    </row>
    <row r="30" spans="1:2" ht="21.6" customHeight="1">
      <c r="A30" s="46" t="s">
        <v>1408</v>
      </c>
      <c r="B30" s="40"/>
    </row>
    <row r="31" spans="1:2" ht="21.6" customHeight="1">
      <c r="A31" s="46" t="s">
        <v>1403</v>
      </c>
      <c r="B31" s="40"/>
    </row>
    <row r="32" spans="1:2" ht="21.6" customHeight="1">
      <c r="A32" s="46" t="s">
        <v>1404</v>
      </c>
      <c r="B32" s="40"/>
    </row>
    <row r="33" spans="1:2" ht="21.6" customHeight="1">
      <c r="A33" s="46" t="s">
        <v>1405</v>
      </c>
      <c r="B33" s="40"/>
    </row>
    <row r="34" spans="1:2" ht="21.6" customHeight="1">
      <c r="A34" s="46" t="s">
        <v>1342</v>
      </c>
      <c r="B34" s="40"/>
    </row>
    <row r="35" spans="1:2" ht="21.6" customHeight="1">
      <c r="A35" s="46" t="s">
        <v>1407</v>
      </c>
      <c r="B35" s="40"/>
    </row>
    <row r="36" spans="1:2" ht="21.6" customHeight="1">
      <c r="A36" s="1"/>
      <c r="B36" s="40"/>
    </row>
    <row r="37" spans="1:2" ht="21.6" customHeight="1">
      <c r="A37" s="46"/>
      <c r="B37" s="40"/>
    </row>
    <row r="38" spans="1:2" ht="21.6" customHeight="1">
      <c r="A38" s="46"/>
      <c r="B38" s="40"/>
    </row>
    <row r="39" spans="1:2" ht="21.6" customHeight="1">
      <c r="A39" s="46"/>
      <c r="B39" s="40"/>
    </row>
    <row r="40" spans="1:2" ht="21.6" customHeight="1">
      <c r="A40" s="46"/>
      <c r="B40" s="40"/>
    </row>
    <row r="41" spans="1:2" ht="21.6" customHeight="1">
      <c r="A41" s="46"/>
      <c r="B41" s="40"/>
    </row>
    <row r="42" spans="1:2" ht="21.6" customHeight="1">
      <c r="A42" s="50"/>
      <c r="B42" s="40"/>
    </row>
    <row r="43" spans="1:2" ht="21.6" customHeight="1">
      <c r="A43" s="46"/>
      <c r="B43" s="40"/>
    </row>
    <row r="44" spans="1:2" ht="21.6" customHeight="1">
      <c r="A44" s="46"/>
      <c r="B44" s="40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FE3F-BBE8-4EF3-B409-962F7FE14387}">
  <sheetPr codeName="Sheet1"/>
  <dimension ref="A1"/>
  <sheetViews>
    <sheetView workbookViewId="0">
      <selection activeCell="G30" sqref="G30"/>
    </sheetView>
  </sheetViews>
  <sheetFormatPr defaultRowHeight="13.8"/>
  <sheetData/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0F3CC-1580-4033-91DC-DE7F86D015C9}">
  <sheetPr codeName="Sheet2"/>
  <dimension ref="A1:B28"/>
  <sheetViews>
    <sheetView workbookViewId="0">
      <selection activeCell="C23" sqref="C23"/>
    </sheetView>
  </sheetViews>
  <sheetFormatPr defaultRowHeight="21" customHeight="1"/>
  <cols>
    <col min="1" max="1" width="10.44140625" style="8" customWidth="1"/>
    <col min="2" max="2" width="54.44140625" style="1" customWidth="1"/>
  </cols>
  <sheetData>
    <row r="1" spans="1:2" ht="21" customHeight="1">
      <c r="A1" s="36" t="s">
        <v>1376</v>
      </c>
      <c r="B1" s="36" t="s">
        <v>1377</v>
      </c>
    </row>
    <row r="2" spans="1:2" ht="21" customHeight="1">
      <c r="A2" s="53">
        <v>1</v>
      </c>
      <c r="B2" s="37" t="s">
        <v>1375</v>
      </c>
    </row>
    <row r="3" spans="1:2" ht="21" customHeight="1">
      <c r="A3" s="53">
        <v>2</v>
      </c>
      <c r="B3" s="37" t="s">
        <v>1378</v>
      </c>
    </row>
    <row r="4" spans="1:2" ht="21" customHeight="1">
      <c r="A4" s="53">
        <v>3</v>
      </c>
      <c r="B4" s="37"/>
    </row>
    <row r="5" spans="1:2" ht="21" customHeight="1">
      <c r="A5" s="53">
        <v>4</v>
      </c>
      <c r="B5" s="37"/>
    </row>
    <row r="6" spans="1:2" ht="21" customHeight="1">
      <c r="A6" s="53">
        <v>5</v>
      </c>
      <c r="B6" s="37"/>
    </row>
    <row r="7" spans="1:2" ht="21" customHeight="1">
      <c r="A7" s="53">
        <v>6</v>
      </c>
      <c r="B7" s="37"/>
    </row>
    <row r="8" spans="1:2" ht="21" customHeight="1">
      <c r="A8" s="53">
        <v>7</v>
      </c>
      <c r="B8" s="37"/>
    </row>
    <row r="9" spans="1:2" ht="21" customHeight="1">
      <c r="A9" s="53">
        <v>8</v>
      </c>
      <c r="B9" s="37"/>
    </row>
    <row r="10" spans="1:2" ht="21" customHeight="1">
      <c r="A10" s="53">
        <v>9</v>
      </c>
      <c r="B10" s="37"/>
    </row>
    <row r="11" spans="1:2" ht="21" customHeight="1">
      <c r="A11" s="53">
        <v>10</v>
      </c>
      <c r="B11" s="37"/>
    </row>
    <row r="12" spans="1:2" ht="21" customHeight="1">
      <c r="A12" s="53">
        <v>11</v>
      </c>
      <c r="B12" s="37"/>
    </row>
    <row r="13" spans="1:2" ht="21" customHeight="1">
      <c r="A13" s="53">
        <v>12</v>
      </c>
      <c r="B13" s="37"/>
    </row>
    <row r="14" spans="1:2" ht="21" customHeight="1">
      <c r="A14" s="53">
        <v>13</v>
      </c>
      <c r="B14" s="37"/>
    </row>
    <row r="15" spans="1:2" ht="21" customHeight="1">
      <c r="A15" s="53">
        <v>14</v>
      </c>
      <c r="B15" s="37"/>
    </row>
    <row r="16" spans="1:2" ht="21" customHeight="1">
      <c r="A16" s="53">
        <v>15</v>
      </c>
      <c r="B16" s="37"/>
    </row>
    <row r="17" spans="1:2" ht="21" customHeight="1">
      <c r="A17" s="53">
        <v>16</v>
      </c>
      <c r="B17" s="37"/>
    </row>
    <row r="18" spans="1:2" ht="21" customHeight="1">
      <c r="A18" s="53">
        <v>17</v>
      </c>
      <c r="B18" s="37"/>
    </row>
    <row r="19" spans="1:2" ht="21" customHeight="1">
      <c r="A19" s="53">
        <v>18</v>
      </c>
      <c r="B19" s="38"/>
    </row>
    <row r="20" spans="1:2" ht="21" customHeight="1">
      <c r="A20" s="53">
        <v>19</v>
      </c>
      <c r="B20" s="37"/>
    </row>
    <row r="21" spans="1:2" ht="21" customHeight="1">
      <c r="A21" s="53">
        <v>20</v>
      </c>
      <c r="B21" s="37"/>
    </row>
    <row r="22" spans="1:2" ht="21" customHeight="1">
      <c r="A22" s="53">
        <v>21</v>
      </c>
      <c r="B22" s="37"/>
    </row>
    <row r="23" spans="1:2" ht="21" customHeight="1">
      <c r="A23" s="53">
        <v>22</v>
      </c>
      <c r="B23" s="37"/>
    </row>
    <row r="24" spans="1:2" ht="21" customHeight="1">
      <c r="A24" s="53">
        <v>23</v>
      </c>
      <c r="B24" s="37"/>
    </row>
    <row r="25" spans="1:2" ht="21" customHeight="1">
      <c r="A25" s="53">
        <v>24</v>
      </c>
      <c r="B25" s="37"/>
    </row>
    <row r="26" spans="1:2" ht="21" customHeight="1">
      <c r="A26" s="53">
        <v>25</v>
      </c>
      <c r="B26" s="37"/>
    </row>
    <row r="27" spans="1:2" ht="21" customHeight="1">
      <c r="A27" s="53">
        <v>26</v>
      </c>
      <c r="B27" s="37"/>
    </row>
    <row r="28" spans="1:2" ht="21" customHeight="1">
      <c r="A28" s="53">
        <v>27</v>
      </c>
      <c r="B28" s="39"/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DF88-9DE4-4E72-8F3A-DCF8410E23DD}">
  <sheetPr codeName="Sheet5"/>
  <dimension ref="A1:F4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8" sqref="I18"/>
    </sheetView>
  </sheetViews>
  <sheetFormatPr defaultColWidth="8.88671875" defaultRowHeight="21.6" customHeight="1"/>
  <cols>
    <col min="1" max="2" width="17.77734375" style="8" customWidth="1"/>
    <col min="3" max="6" width="22.33203125" style="1" customWidth="1"/>
    <col min="7" max="16384" width="8.88671875" style="1"/>
  </cols>
  <sheetData>
    <row r="1" spans="1:6" s="45" customFormat="1" ht="21.6" customHeight="1">
      <c r="A1" s="44" t="s">
        <v>899</v>
      </c>
      <c r="B1" s="44"/>
      <c r="C1" s="44" t="s">
        <v>1373</v>
      </c>
      <c r="D1" s="44" t="s">
        <v>2127</v>
      </c>
      <c r="E1" s="44"/>
      <c r="F1" s="44"/>
    </row>
    <row r="2" spans="1:6" ht="21.6" customHeight="1">
      <c r="A2" s="46">
        <v>1</v>
      </c>
      <c r="B2" s="46"/>
      <c r="C2" s="40"/>
      <c r="D2" s="40"/>
      <c r="E2" s="40"/>
      <c r="F2" s="40"/>
    </row>
    <row r="3" spans="1:6" ht="21.6" customHeight="1">
      <c r="A3" s="46">
        <v>2</v>
      </c>
      <c r="B3" s="46"/>
      <c r="C3" s="40"/>
      <c r="D3" s="40"/>
      <c r="E3" s="40"/>
      <c r="F3" s="40"/>
    </row>
    <row r="4" spans="1:6" ht="21.6" customHeight="1">
      <c r="A4" s="46">
        <v>3</v>
      </c>
      <c r="B4" s="46"/>
      <c r="C4" s="40"/>
      <c r="D4" s="40"/>
      <c r="E4" s="40"/>
      <c r="F4" s="40"/>
    </row>
    <row r="5" spans="1:6" ht="21.6" customHeight="1">
      <c r="A5" s="46">
        <v>4</v>
      </c>
      <c r="B5" s="46"/>
      <c r="C5" s="40"/>
      <c r="D5" s="40"/>
      <c r="E5" s="40"/>
      <c r="F5" s="40"/>
    </row>
    <row r="6" spans="1:6" ht="21.6" customHeight="1">
      <c r="A6" s="46">
        <v>5</v>
      </c>
      <c r="B6" s="46"/>
      <c r="C6" s="40"/>
      <c r="D6" s="40"/>
      <c r="E6" s="40"/>
      <c r="F6" s="40"/>
    </row>
    <row r="7" spans="1:6" ht="21.6" customHeight="1">
      <c r="A7" s="46">
        <v>6</v>
      </c>
      <c r="B7" s="46"/>
      <c r="C7" s="40"/>
      <c r="D7" s="40"/>
      <c r="E7" s="40"/>
      <c r="F7" s="40"/>
    </row>
    <row r="8" spans="1:6" ht="21.6" customHeight="1">
      <c r="A8" s="46" t="s">
        <v>1344</v>
      </c>
      <c r="B8" s="46"/>
      <c r="C8" s="40"/>
      <c r="D8" s="40"/>
      <c r="E8" s="40"/>
      <c r="F8" s="40"/>
    </row>
    <row r="9" spans="1:6" ht="21.6" customHeight="1">
      <c r="A9" s="46" t="s">
        <v>1</v>
      </c>
      <c r="B9" s="46"/>
      <c r="C9" s="51" t="s">
        <v>1371</v>
      </c>
      <c r="E9" s="40"/>
      <c r="F9" s="40"/>
    </row>
    <row r="10" spans="1:6" ht="21.6" customHeight="1">
      <c r="A10" s="46" t="s">
        <v>2</v>
      </c>
      <c r="B10" s="46"/>
      <c r="C10" s="49" t="s">
        <v>1372</v>
      </c>
      <c r="D10" s="52" t="s">
        <v>1374</v>
      </c>
      <c r="E10" s="40"/>
      <c r="F10" s="40"/>
    </row>
    <row r="11" spans="1:6" ht="21.6" customHeight="1">
      <c r="A11" s="46" t="s">
        <v>3</v>
      </c>
      <c r="C11" s="40"/>
      <c r="D11" s="40"/>
      <c r="E11" s="40"/>
      <c r="F11" s="40"/>
    </row>
    <row r="12" spans="1:6" ht="21.6" customHeight="1">
      <c r="A12" s="46" t="s">
        <v>4</v>
      </c>
      <c r="B12" s="46"/>
      <c r="C12" s="40"/>
      <c r="D12" s="40"/>
      <c r="E12" s="40"/>
      <c r="F12" s="40"/>
    </row>
    <row r="13" spans="1:6" ht="21.6" customHeight="1">
      <c r="A13" s="46" t="s">
        <v>34</v>
      </c>
      <c r="B13" s="46"/>
      <c r="C13" s="40"/>
      <c r="D13" s="40"/>
      <c r="E13" s="40"/>
      <c r="F13" s="40"/>
    </row>
    <row r="14" spans="1:6" ht="21.6" customHeight="1">
      <c r="A14" s="46" t="s">
        <v>6</v>
      </c>
      <c r="B14" s="46"/>
      <c r="C14" s="43"/>
      <c r="D14" s="40"/>
      <c r="E14" s="40"/>
      <c r="F14" s="40"/>
    </row>
    <row r="15" spans="1:6" ht="21.6" customHeight="1">
      <c r="A15" s="46" t="s">
        <v>7</v>
      </c>
      <c r="B15" s="46"/>
      <c r="C15" s="40"/>
      <c r="D15" s="40"/>
      <c r="E15" s="40"/>
      <c r="F15" s="40"/>
    </row>
    <row r="16" spans="1:6" ht="21.6" customHeight="1">
      <c r="A16" s="46" t="s">
        <v>8</v>
      </c>
      <c r="B16" s="46"/>
      <c r="C16" s="40"/>
      <c r="D16" s="40"/>
      <c r="E16" s="40"/>
      <c r="F16" s="40"/>
    </row>
    <row r="17" spans="1:6" ht="21.6" customHeight="1">
      <c r="A17" s="46" t="s">
        <v>9</v>
      </c>
      <c r="B17" s="46"/>
      <c r="C17" s="40"/>
      <c r="D17" s="41"/>
      <c r="E17" s="40"/>
      <c r="F17" s="40"/>
    </row>
    <row r="18" spans="1:6" ht="21.6" customHeight="1">
      <c r="A18" s="46" t="s">
        <v>10</v>
      </c>
      <c r="B18" s="46"/>
      <c r="C18" s="40"/>
      <c r="D18" s="40"/>
      <c r="E18" s="40"/>
      <c r="F18" s="40"/>
    </row>
    <row r="19" spans="1:6" ht="21.6" customHeight="1">
      <c r="A19" s="46" t="s">
        <v>11</v>
      </c>
      <c r="B19" s="46"/>
      <c r="C19" s="40"/>
      <c r="D19" s="42"/>
      <c r="E19" s="42"/>
      <c r="F19" s="40"/>
    </row>
    <row r="20" spans="1:6" ht="21.6" customHeight="1">
      <c r="A20" s="46" t="s">
        <v>12</v>
      </c>
      <c r="B20" s="46"/>
      <c r="C20" s="42"/>
      <c r="D20" s="40"/>
      <c r="E20" s="40"/>
      <c r="F20" s="40"/>
    </row>
    <row r="21" spans="1:6" ht="21.6" customHeight="1">
      <c r="A21" s="46" t="s">
        <v>13</v>
      </c>
      <c r="B21" s="46"/>
      <c r="C21" s="42"/>
      <c r="D21" s="40"/>
      <c r="E21" s="40"/>
      <c r="F21" s="40"/>
    </row>
    <row r="22" spans="1:6" ht="21.6" customHeight="1">
      <c r="A22" s="46" t="s">
        <v>14</v>
      </c>
      <c r="B22" s="46"/>
      <c r="C22" s="42"/>
      <c r="D22" s="40"/>
      <c r="E22" s="40"/>
      <c r="F22" s="40"/>
    </row>
    <row r="23" spans="1:6" ht="21.6" customHeight="1">
      <c r="A23" s="46" t="s">
        <v>15</v>
      </c>
      <c r="B23" s="46"/>
      <c r="C23" s="42"/>
      <c r="D23" s="40"/>
      <c r="E23" s="40"/>
      <c r="F23" s="40"/>
    </row>
    <row r="24" spans="1:6" ht="21.6" customHeight="1">
      <c r="A24" s="46" t="s">
        <v>16</v>
      </c>
      <c r="B24" s="46"/>
      <c r="C24" s="40"/>
      <c r="D24" s="40"/>
      <c r="E24" s="40"/>
      <c r="F24" s="40"/>
    </row>
    <row r="25" spans="1:6" ht="21.6" customHeight="1">
      <c r="A25" s="46" t="s">
        <v>17</v>
      </c>
      <c r="D25" s="40"/>
      <c r="E25" s="40"/>
      <c r="F25" s="40"/>
    </row>
    <row r="26" spans="1:6" ht="21.6" customHeight="1">
      <c r="A26" s="46" t="s">
        <v>18</v>
      </c>
      <c r="B26" s="46"/>
      <c r="C26" s="40"/>
      <c r="D26" s="40"/>
      <c r="E26" s="40"/>
      <c r="F26" s="40"/>
    </row>
    <row r="27" spans="1:6" ht="21.6" customHeight="1">
      <c r="A27" s="46" t="s">
        <v>19</v>
      </c>
      <c r="B27" s="46"/>
      <c r="C27" s="40"/>
      <c r="D27" s="40"/>
      <c r="E27" s="40"/>
      <c r="F27" s="40"/>
    </row>
    <row r="28" spans="1:6" ht="21.6" customHeight="1">
      <c r="A28" s="47" t="s">
        <v>20</v>
      </c>
      <c r="B28" s="47"/>
      <c r="C28" s="48"/>
      <c r="D28" s="48"/>
      <c r="E28" s="48"/>
      <c r="F28" s="48"/>
    </row>
    <row r="29" spans="1:6" ht="21.6" customHeight="1">
      <c r="A29" s="46" t="s">
        <v>1335</v>
      </c>
      <c r="B29" s="46"/>
      <c r="C29" s="40"/>
      <c r="D29" s="40"/>
      <c r="E29" s="40"/>
      <c r="F29" s="40"/>
    </row>
    <row r="30" spans="1:6" ht="21.6" customHeight="1">
      <c r="A30" s="46"/>
      <c r="B30" s="46"/>
      <c r="C30" s="40"/>
      <c r="D30" s="40"/>
      <c r="E30" s="40"/>
      <c r="F30" s="40"/>
    </row>
    <row r="31" spans="1:6" ht="21.6" customHeight="1">
      <c r="A31" s="46">
        <v>7</v>
      </c>
      <c r="B31" s="46"/>
      <c r="C31" s="40"/>
      <c r="D31" s="40"/>
      <c r="E31" s="40"/>
      <c r="F31" s="40"/>
    </row>
    <row r="32" spans="1:6" ht="21.6" customHeight="1">
      <c r="A32" s="46">
        <v>8</v>
      </c>
      <c r="B32" s="46"/>
      <c r="C32" s="40"/>
      <c r="D32" s="40"/>
      <c r="E32" s="40"/>
      <c r="F32" s="40"/>
    </row>
    <row r="33" spans="1:6" ht="21.6" customHeight="1">
      <c r="A33" s="46">
        <v>9</v>
      </c>
      <c r="B33" s="46"/>
      <c r="C33" s="40"/>
      <c r="D33" s="40"/>
      <c r="E33" s="40"/>
      <c r="F33" s="40"/>
    </row>
    <row r="34" spans="1:6" ht="21.6" customHeight="1">
      <c r="A34" s="46" t="s">
        <v>1345</v>
      </c>
      <c r="B34" s="46"/>
      <c r="C34" s="40"/>
      <c r="D34" s="40"/>
      <c r="E34" s="40"/>
      <c r="F34" s="40"/>
    </row>
    <row r="35" spans="1:6" ht="21.6" customHeight="1">
      <c r="A35" s="46" t="s">
        <v>1346</v>
      </c>
      <c r="B35" s="46"/>
      <c r="C35" s="40"/>
      <c r="D35" s="40"/>
      <c r="E35" s="40"/>
      <c r="F35" s="40"/>
    </row>
    <row r="36" spans="1:6" ht="21.6" customHeight="1">
      <c r="A36" s="46" t="s">
        <v>1347</v>
      </c>
      <c r="B36" s="46"/>
      <c r="C36" s="40"/>
      <c r="D36" s="40"/>
      <c r="E36" s="40"/>
      <c r="F36" s="40"/>
    </row>
    <row r="37" spans="1:6" ht="21.6" customHeight="1">
      <c r="A37" s="46" t="s">
        <v>1348</v>
      </c>
      <c r="B37" s="46"/>
      <c r="C37" s="40"/>
      <c r="D37" s="40"/>
      <c r="E37" s="40"/>
      <c r="F37" s="40"/>
    </row>
    <row r="38" spans="1:6" ht="21.6" customHeight="1">
      <c r="A38" s="46" t="s">
        <v>1349</v>
      </c>
      <c r="B38" s="46"/>
      <c r="C38" s="40"/>
      <c r="D38" s="40"/>
      <c r="E38" s="40"/>
      <c r="F38" s="40"/>
    </row>
    <row r="39" spans="1:6" ht="21.6" customHeight="1">
      <c r="A39" s="46" t="s">
        <v>1350</v>
      </c>
      <c r="B39" s="46"/>
      <c r="C39" s="40"/>
      <c r="D39" s="40"/>
      <c r="E39" s="40"/>
      <c r="F39" s="40"/>
    </row>
    <row r="40" spans="1:6" ht="21.6" customHeight="1">
      <c r="A40" s="50" t="s">
        <v>1351</v>
      </c>
      <c r="B40" s="50"/>
      <c r="C40" s="40"/>
      <c r="D40" s="40"/>
      <c r="E40" s="40"/>
      <c r="F40" s="40"/>
    </row>
    <row r="41" spans="1:6" ht="21.6" customHeight="1">
      <c r="A41" s="46"/>
      <c r="B41" s="46"/>
      <c r="C41" s="40"/>
      <c r="D41" s="40"/>
      <c r="E41" s="40"/>
      <c r="F41" s="40"/>
    </row>
    <row r="42" spans="1:6" ht="21.6" customHeight="1">
      <c r="A42" s="46"/>
      <c r="B42" s="46"/>
      <c r="C42" s="40"/>
      <c r="D42" s="40"/>
      <c r="E42" s="40"/>
      <c r="F42" s="40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E0D8-69FC-4027-B51E-C7EC8724EA36}">
  <sheetPr codeName="Sheet6"/>
  <dimension ref="A1:E4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56" sqref="E56"/>
    </sheetView>
  </sheetViews>
  <sheetFormatPr defaultColWidth="8.88671875" defaultRowHeight="21.6" customHeight="1"/>
  <cols>
    <col min="1" max="1" width="17.77734375" style="8" customWidth="1"/>
    <col min="2" max="5" width="22.33203125" style="1" customWidth="1"/>
    <col min="6" max="16384" width="8.88671875" style="1"/>
  </cols>
  <sheetData>
    <row r="1" spans="1:5" s="45" customFormat="1" ht="21.6" customHeight="1">
      <c r="A1" s="44" t="s">
        <v>899</v>
      </c>
      <c r="B1" s="44">
        <v>1</v>
      </c>
      <c r="C1" s="44">
        <v>2</v>
      </c>
      <c r="D1" s="44">
        <v>3</v>
      </c>
      <c r="E1" s="44">
        <v>4</v>
      </c>
    </row>
    <row r="2" spans="1:5" ht="21.6" customHeight="1">
      <c r="A2" s="46" t="s">
        <v>1364</v>
      </c>
      <c r="B2" s="40" t="s">
        <v>1367</v>
      </c>
      <c r="C2" s="40"/>
      <c r="D2" s="40"/>
      <c r="E2" s="40"/>
    </row>
    <row r="3" spans="1:5" ht="21.6" customHeight="1">
      <c r="A3" s="46" t="s">
        <v>1365</v>
      </c>
      <c r="B3" s="40" t="s">
        <v>1368</v>
      </c>
      <c r="C3" s="40"/>
      <c r="D3" s="40"/>
      <c r="E3" s="40"/>
    </row>
    <row r="4" spans="1:5" ht="21.6" customHeight="1">
      <c r="A4" s="46" t="s">
        <v>1366</v>
      </c>
      <c r="B4" s="40" t="s">
        <v>1369</v>
      </c>
      <c r="C4" s="40"/>
      <c r="D4" s="40"/>
      <c r="E4" s="40"/>
    </row>
    <row r="5" spans="1:5" ht="21.6" customHeight="1">
      <c r="A5" s="46">
        <v>1</v>
      </c>
      <c r="B5" s="40"/>
      <c r="C5" s="40"/>
      <c r="D5" s="40"/>
      <c r="E5" s="40"/>
    </row>
    <row r="6" spans="1:5" ht="21.6" customHeight="1">
      <c r="A6" s="46">
        <v>2</v>
      </c>
      <c r="B6" s="40"/>
      <c r="C6" s="40"/>
      <c r="D6" s="40"/>
      <c r="E6" s="40"/>
    </row>
    <row r="7" spans="1:5" ht="21.6" customHeight="1">
      <c r="A7" s="46">
        <v>3</v>
      </c>
      <c r="B7" s="40" t="s">
        <v>1370</v>
      </c>
      <c r="C7" s="40"/>
      <c r="D7" s="40"/>
      <c r="E7" s="40"/>
    </row>
    <row r="8" spans="1:5" ht="21.6" customHeight="1">
      <c r="A8" s="46">
        <v>4</v>
      </c>
      <c r="B8" s="40"/>
      <c r="C8" s="40"/>
      <c r="D8" s="40"/>
      <c r="E8" s="40"/>
    </row>
    <row r="9" spans="1:5" ht="21.6" customHeight="1">
      <c r="A9" s="46">
        <v>5</v>
      </c>
      <c r="B9" s="40"/>
      <c r="C9" s="40"/>
      <c r="D9" s="40"/>
      <c r="E9" s="40"/>
    </row>
    <row r="10" spans="1:5" ht="21.6" customHeight="1">
      <c r="A10" s="46">
        <v>6</v>
      </c>
      <c r="B10" s="40"/>
      <c r="C10" s="40"/>
      <c r="D10" s="40"/>
      <c r="E10" s="40"/>
    </row>
    <row r="11" spans="1:5" ht="21.6" customHeight="1">
      <c r="A11" s="46" t="s">
        <v>1344</v>
      </c>
      <c r="B11" s="40"/>
      <c r="C11" s="40"/>
      <c r="D11" s="40"/>
      <c r="E11" s="40"/>
    </row>
    <row r="12" spans="1:5" ht="21.6" customHeight="1">
      <c r="A12" s="46" t="s">
        <v>1</v>
      </c>
      <c r="B12" s="40"/>
      <c r="C12" s="40"/>
      <c r="D12" s="40"/>
      <c r="E12" s="40"/>
    </row>
    <row r="13" spans="1:5" ht="21.6" customHeight="1">
      <c r="A13" s="46" t="s">
        <v>2</v>
      </c>
      <c r="B13" s="40"/>
      <c r="C13" s="40"/>
      <c r="D13" s="40"/>
      <c r="E13" s="40"/>
    </row>
    <row r="14" spans="1:5" ht="21.6" customHeight="1">
      <c r="A14" s="46" t="s">
        <v>3</v>
      </c>
      <c r="B14" s="40"/>
      <c r="C14" s="40"/>
      <c r="D14" s="40"/>
      <c r="E14" s="40"/>
    </row>
    <row r="15" spans="1:5" ht="21.6" customHeight="1">
      <c r="A15" s="46" t="s">
        <v>4</v>
      </c>
      <c r="B15" s="40"/>
      <c r="C15" s="40"/>
      <c r="D15" s="40"/>
      <c r="E15" s="40"/>
    </row>
    <row r="16" spans="1:5" ht="21.6" customHeight="1">
      <c r="A16" s="46" t="s">
        <v>34</v>
      </c>
      <c r="B16" s="40"/>
      <c r="C16" s="40"/>
      <c r="D16" s="40"/>
      <c r="E16" s="40"/>
    </row>
    <row r="17" spans="1:5" ht="21.6" customHeight="1">
      <c r="A17" s="46" t="s">
        <v>6</v>
      </c>
      <c r="B17" s="43"/>
      <c r="C17" s="40"/>
      <c r="D17" s="40"/>
      <c r="E17" s="40"/>
    </row>
    <row r="18" spans="1:5" ht="21.6" customHeight="1">
      <c r="A18" s="46" t="s">
        <v>7</v>
      </c>
      <c r="B18" s="40"/>
      <c r="C18" s="40"/>
      <c r="D18" s="40"/>
      <c r="E18" s="40"/>
    </row>
    <row r="19" spans="1:5" ht="21.6" customHeight="1">
      <c r="A19" s="46" t="s">
        <v>8</v>
      </c>
      <c r="B19" s="40"/>
      <c r="C19" s="40"/>
      <c r="D19" s="40"/>
      <c r="E19" s="40"/>
    </row>
    <row r="20" spans="1:5" ht="21.6" customHeight="1">
      <c r="A20" s="46" t="s">
        <v>9</v>
      </c>
      <c r="B20" s="40"/>
      <c r="C20" s="41"/>
      <c r="D20" s="40"/>
      <c r="E20" s="40"/>
    </row>
    <row r="21" spans="1:5" ht="21.6" customHeight="1">
      <c r="A21" s="46" t="s">
        <v>10</v>
      </c>
      <c r="B21" s="40"/>
      <c r="C21" s="40"/>
      <c r="D21" s="40"/>
      <c r="E21" s="40"/>
    </row>
    <row r="22" spans="1:5" ht="21.6" customHeight="1">
      <c r="A22" s="46" t="s">
        <v>11</v>
      </c>
      <c r="B22" s="40"/>
      <c r="C22" s="42"/>
      <c r="D22" s="42"/>
      <c r="E22" s="40"/>
    </row>
    <row r="23" spans="1:5" ht="21.6" customHeight="1">
      <c r="A23" s="46" t="s">
        <v>12</v>
      </c>
      <c r="B23" s="42"/>
      <c r="C23" s="40"/>
      <c r="D23" s="40"/>
      <c r="E23" s="40"/>
    </row>
    <row r="24" spans="1:5" ht="21.6" customHeight="1">
      <c r="A24" s="46" t="s">
        <v>13</v>
      </c>
      <c r="B24" s="42"/>
      <c r="C24" s="40"/>
      <c r="D24" s="40"/>
      <c r="E24" s="40"/>
    </row>
    <row r="25" spans="1:5" ht="21.6" customHeight="1">
      <c r="A25" s="46" t="s">
        <v>14</v>
      </c>
      <c r="B25" s="42"/>
      <c r="C25" s="40"/>
      <c r="D25" s="40"/>
      <c r="E25" s="40"/>
    </row>
    <row r="26" spans="1:5" ht="21.6" customHeight="1">
      <c r="A26" s="46" t="s">
        <v>15</v>
      </c>
      <c r="B26" s="42"/>
      <c r="C26" s="40"/>
      <c r="D26" s="40"/>
      <c r="E26" s="40"/>
    </row>
    <row r="27" spans="1:5" ht="21.6" customHeight="1">
      <c r="A27" s="46" t="s">
        <v>16</v>
      </c>
      <c r="B27" s="40"/>
      <c r="C27" s="40"/>
      <c r="D27" s="40"/>
      <c r="E27" s="40"/>
    </row>
    <row r="28" spans="1:5" ht="21.6" customHeight="1">
      <c r="A28" s="46" t="s">
        <v>17</v>
      </c>
      <c r="C28" s="40"/>
      <c r="D28" s="40"/>
      <c r="E28" s="40"/>
    </row>
    <row r="29" spans="1:5" ht="21.6" customHeight="1">
      <c r="A29" s="46" t="s">
        <v>18</v>
      </c>
      <c r="B29" s="40"/>
      <c r="C29" s="40"/>
      <c r="D29" s="40"/>
      <c r="E29" s="40"/>
    </row>
    <row r="30" spans="1:5" ht="21.6" customHeight="1">
      <c r="A30" s="46" t="s">
        <v>19</v>
      </c>
      <c r="B30" s="40"/>
      <c r="C30" s="40"/>
      <c r="D30" s="40"/>
      <c r="E30" s="40"/>
    </row>
    <row r="31" spans="1:5" ht="21.6" customHeight="1">
      <c r="A31" s="47" t="s">
        <v>20</v>
      </c>
      <c r="B31" s="48"/>
      <c r="C31" s="48"/>
      <c r="D31" s="48"/>
      <c r="E31" s="48"/>
    </row>
    <row r="32" spans="1:5" ht="21.6" customHeight="1">
      <c r="A32" s="46" t="s">
        <v>1335</v>
      </c>
      <c r="B32" s="40"/>
      <c r="C32" s="40"/>
      <c r="D32" s="40"/>
      <c r="E32" s="40"/>
    </row>
    <row r="33" spans="1:5" ht="21.6" customHeight="1">
      <c r="A33" s="46"/>
      <c r="B33" s="40"/>
      <c r="C33" s="40"/>
      <c r="D33" s="40"/>
      <c r="E33" s="40"/>
    </row>
    <row r="34" spans="1:5" ht="21.6" customHeight="1">
      <c r="A34" s="46">
        <v>7</v>
      </c>
      <c r="B34" s="40"/>
      <c r="C34" s="40"/>
      <c r="D34" s="40"/>
      <c r="E34" s="40"/>
    </row>
    <row r="35" spans="1:5" ht="21.6" customHeight="1">
      <c r="A35" s="46">
        <v>8</v>
      </c>
      <c r="B35" s="40"/>
      <c r="C35" s="40"/>
      <c r="D35" s="40"/>
      <c r="E35" s="40"/>
    </row>
    <row r="36" spans="1:5" ht="21.6" customHeight="1">
      <c r="A36" s="46">
        <v>9</v>
      </c>
      <c r="B36" s="40"/>
      <c r="C36" s="40"/>
      <c r="D36" s="40"/>
      <c r="E36" s="40"/>
    </row>
    <row r="37" spans="1:5" ht="21.6" customHeight="1">
      <c r="A37" s="46" t="s">
        <v>1345</v>
      </c>
      <c r="B37" s="40"/>
      <c r="C37" s="40"/>
      <c r="D37" s="40"/>
      <c r="E37" s="40"/>
    </row>
    <row r="38" spans="1:5" ht="21.6" customHeight="1">
      <c r="A38" s="46" t="s">
        <v>1346</v>
      </c>
      <c r="B38" s="40"/>
      <c r="C38" s="40"/>
      <c r="D38" s="40"/>
      <c r="E38" s="40"/>
    </row>
    <row r="39" spans="1:5" ht="21.6" customHeight="1">
      <c r="A39" s="46" t="s">
        <v>1347</v>
      </c>
      <c r="B39" s="40"/>
      <c r="C39" s="40"/>
      <c r="D39" s="40"/>
      <c r="E39" s="40"/>
    </row>
    <row r="40" spans="1:5" ht="21.6" customHeight="1">
      <c r="A40" s="46" t="s">
        <v>1348</v>
      </c>
      <c r="B40" s="40"/>
      <c r="C40" s="40"/>
      <c r="D40" s="40"/>
      <c r="E40" s="40"/>
    </row>
    <row r="41" spans="1:5" ht="21.6" customHeight="1">
      <c r="A41" s="46" t="s">
        <v>1349</v>
      </c>
      <c r="B41" s="40"/>
      <c r="C41" s="40"/>
      <c r="D41" s="40"/>
      <c r="E41" s="40"/>
    </row>
    <row r="42" spans="1:5" ht="21.6" customHeight="1">
      <c r="A42" s="46" t="s">
        <v>1350</v>
      </c>
      <c r="B42" s="40"/>
      <c r="C42" s="40"/>
      <c r="D42" s="40"/>
      <c r="E42" s="40"/>
    </row>
    <row r="43" spans="1:5" ht="21.6" customHeight="1">
      <c r="A43" s="50" t="s">
        <v>1351</v>
      </c>
      <c r="B43" s="40"/>
      <c r="C43" s="40"/>
      <c r="D43" s="40"/>
      <c r="E43" s="40"/>
    </row>
    <row r="44" spans="1:5" ht="21.6" customHeight="1">
      <c r="A44" s="46"/>
      <c r="B44" s="40"/>
      <c r="C44" s="40"/>
      <c r="D44" s="40"/>
      <c r="E44" s="40"/>
    </row>
    <row r="45" spans="1:5" ht="21.6" customHeight="1">
      <c r="A45" s="46"/>
      <c r="B45" s="40"/>
      <c r="C45" s="40"/>
      <c r="D45" s="40"/>
      <c r="E45" s="40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5AD5-EF35-42A1-AC0C-A64F69E32229}">
  <sheetPr codeName="Sheet7"/>
  <dimension ref="A1"/>
  <sheetViews>
    <sheetView workbookViewId="0"/>
  </sheetViews>
  <sheetFormatPr defaultRowHeight="13.8"/>
  <sheetData/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A352-60DB-4BC1-816E-0D2F6254CFA3}">
  <sheetPr codeName="Sheet8"/>
  <dimension ref="A1:H32"/>
  <sheetViews>
    <sheetView workbookViewId="0">
      <selection activeCell="I76" sqref="I76"/>
    </sheetView>
  </sheetViews>
  <sheetFormatPr defaultRowHeight="13.8"/>
  <sheetData>
    <row r="1" spans="1:8"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</row>
    <row r="2" spans="1:8">
      <c r="A2" t="s">
        <v>0</v>
      </c>
    </row>
    <row r="3" spans="1:8">
      <c r="A3">
        <v>1</v>
      </c>
    </row>
    <row r="4" spans="1:8">
      <c r="A4">
        <v>2</v>
      </c>
    </row>
    <row r="5" spans="1:8">
      <c r="A5">
        <v>3</v>
      </c>
    </row>
    <row r="6" spans="1:8">
      <c r="A6">
        <v>4</v>
      </c>
    </row>
    <row r="7" spans="1:8">
      <c r="A7">
        <v>5</v>
      </c>
    </row>
    <row r="8" spans="1:8">
      <c r="A8">
        <v>6</v>
      </c>
    </row>
    <row r="9" spans="1:8">
      <c r="A9" t="s">
        <v>29</v>
      </c>
      <c r="D9" t="s">
        <v>30</v>
      </c>
    </row>
    <row r="10" spans="1:8">
      <c r="A10" t="s">
        <v>1</v>
      </c>
      <c r="D10" t="s">
        <v>31</v>
      </c>
    </row>
    <row r="11" spans="1:8">
      <c r="A11" t="s">
        <v>2</v>
      </c>
      <c r="B11" t="s">
        <v>32</v>
      </c>
      <c r="D11" t="s">
        <v>32</v>
      </c>
    </row>
    <row r="12" spans="1:8">
      <c r="A12" t="s">
        <v>3</v>
      </c>
    </row>
    <row r="13" spans="1:8">
      <c r="A13" t="s">
        <v>4</v>
      </c>
      <c r="B13" t="s">
        <v>33</v>
      </c>
      <c r="D13" t="s">
        <v>33</v>
      </c>
      <c r="H13" t="s">
        <v>5</v>
      </c>
    </row>
    <row r="14" spans="1:8">
      <c r="A14" t="s">
        <v>34</v>
      </c>
      <c r="B14" t="s">
        <v>35</v>
      </c>
      <c r="D14" t="s">
        <v>35</v>
      </c>
    </row>
    <row r="15" spans="1:8">
      <c r="A15" t="s">
        <v>6</v>
      </c>
    </row>
    <row r="16" spans="1:8">
      <c r="A16" t="s">
        <v>7</v>
      </c>
      <c r="C16" t="s">
        <v>36</v>
      </c>
    </row>
    <row r="17" spans="1:4">
      <c r="A17" t="s">
        <v>8</v>
      </c>
      <c r="B17" t="s">
        <v>37</v>
      </c>
      <c r="D17" t="s">
        <v>37</v>
      </c>
    </row>
    <row r="18" spans="1:4">
      <c r="A18" t="s">
        <v>9</v>
      </c>
      <c r="B18" t="s">
        <v>38</v>
      </c>
      <c r="D18" t="s">
        <v>38</v>
      </c>
    </row>
    <row r="19" spans="1:4">
      <c r="A19" t="s">
        <v>10</v>
      </c>
      <c r="B19" t="s">
        <v>39</v>
      </c>
      <c r="D19" t="s">
        <v>39</v>
      </c>
    </row>
    <row r="20" spans="1:4">
      <c r="A20" t="s">
        <v>11</v>
      </c>
      <c r="B20" t="s">
        <v>40</v>
      </c>
      <c r="D20" t="s">
        <v>40</v>
      </c>
    </row>
    <row r="21" spans="1:4">
      <c r="A21" t="s">
        <v>12</v>
      </c>
    </row>
    <row r="22" spans="1:4">
      <c r="A22" t="s">
        <v>13</v>
      </c>
    </row>
    <row r="23" spans="1:4">
      <c r="A23" t="s">
        <v>14</v>
      </c>
    </row>
    <row r="24" spans="1:4">
      <c r="A24" t="s">
        <v>15</v>
      </c>
    </row>
    <row r="25" spans="1:4">
      <c r="A25" t="s">
        <v>16</v>
      </c>
    </row>
    <row r="26" spans="1:4">
      <c r="A26" t="s">
        <v>17</v>
      </c>
    </row>
    <row r="27" spans="1:4">
      <c r="A27" t="s">
        <v>18</v>
      </c>
      <c r="B27" t="s">
        <v>41</v>
      </c>
    </row>
    <row r="28" spans="1:4">
      <c r="A28" t="s">
        <v>19</v>
      </c>
      <c r="B28" t="s">
        <v>36</v>
      </c>
    </row>
    <row r="29" spans="1:4">
      <c r="A29" t="s">
        <v>20</v>
      </c>
    </row>
    <row r="30" spans="1:4">
      <c r="A30" t="s">
        <v>21</v>
      </c>
    </row>
    <row r="31" spans="1:4">
      <c r="A31" t="s">
        <v>22</v>
      </c>
    </row>
    <row r="32" spans="1:4">
      <c r="A32" t="s">
        <v>42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FBEA-75B4-4E66-9542-2AF9A6CCB3BC}">
  <sheetPr codeName="Sheet9"/>
  <dimension ref="A1:L347"/>
  <sheetViews>
    <sheetView zoomScale="115" zoomScaleNormal="11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G18" sqref="G18"/>
    </sheetView>
  </sheetViews>
  <sheetFormatPr defaultColWidth="8.88671875" defaultRowHeight="21.6" customHeight="1"/>
  <cols>
    <col min="1" max="1" width="8.88671875" style="8"/>
    <col min="2" max="2" width="20" style="8" customWidth="1"/>
    <col min="3" max="3" width="28.44140625" style="1" customWidth="1"/>
    <col min="4" max="5" width="44" style="1" customWidth="1"/>
    <col min="6" max="6" width="55.21875" style="2" customWidth="1"/>
    <col min="7" max="7" width="47.21875" style="1" customWidth="1"/>
    <col min="8" max="11" width="8.88671875" style="1"/>
    <col min="12" max="12" width="52.109375" style="1" customWidth="1"/>
    <col min="13" max="16384" width="8.88671875" style="1"/>
  </cols>
  <sheetData>
    <row r="1" spans="1:7" s="9" customFormat="1" ht="21.6" customHeight="1">
      <c r="A1" s="6" t="s">
        <v>163</v>
      </c>
      <c r="B1" s="6" t="s">
        <v>1329</v>
      </c>
      <c r="C1" s="3" t="s">
        <v>43</v>
      </c>
      <c r="D1" s="3" t="s">
        <v>43</v>
      </c>
      <c r="E1" s="3" t="s">
        <v>43</v>
      </c>
      <c r="F1" s="3" t="s">
        <v>44</v>
      </c>
    </row>
    <row r="2" spans="1:7" ht="21.6" customHeight="1">
      <c r="A2" s="7">
        <v>1</v>
      </c>
      <c r="B2" s="7"/>
      <c r="C2" s="4" t="s">
        <v>1065</v>
      </c>
      <c r="D2" s="4" t="s">
        <v>1121</v>
      </c>
      <c r="E2" s="4" t="s">
        <v>1274</v>
      </c>
      <c r="F2" s="5" t="s">
        <v>45</v>
      </c>
    </row>
    <row r="3" spans="1:7" ht="21.6" customHeight="1">
      <c r="A3" s="7">
        <v>2</v>
      </c>
      <c r="B3" s="7"/>
      <c r="C3" s="4" t="s">
        <v>1066</v>
      </c>
      <c r="D3" s="4" t="s">
        <v>1122</v>
      </c>
      <c r="E3" s="4" t="s">
        <v>46</v>
      </c>
      <c r="F3" s="5" t="s">
        <v>47</v>
      </c>
    </row>
    <row r="4" spans="1:7" ht="21.6" customHeight="1">
      <c r="A4" s="7">
        <v>3</v>
      </c>
      <c r="B4" s="7"/>
      <c r="C4" s="4" t="s">
        <v>1119</v>
      </c>
      <c r="D4" s="4" t="s">
        <v>1163</v>
      </c>
      <c r="E4" s="4" t="s">
        <v>1382</v>
      </c>
      <c r="F4" s="5" t="s">
        <v>48</v>
      </c>
    </row>
    <row r="5" spans="1:7" ht="21.6" customHeight="1">
      <c r="A5" s="7">
        <v>4</v>
      </c>
      <c r="B5" s="7"/>
      <c r="C5" s="4" t="s">
        <v>1120</v>
      </c>
      <c r="D5" s="4" t="s">
        <v>1164</v>
      </c>
      <c r="E5" s="4" t="s">
        <v>49</v>
      </c>
      <c r="F5" s="5" t="s">
        <v>50</v>
      </c>
    </row>
    <row r="6" spans="1:7" ht="21.6" customHeight="1">
      <c r="A6" s="7">
        <v>101</v>
      </c>
      <c r="B6" s="7"/>
      <c r="C6" s="4" t="s">
        <v>247</v>
      </c>
      <c r="D6" s="4" t="s">
        <v>902</v>
      </c>
      <c r="E6" s="4" t="s">
        <v>1275</v>
      </c>
      <c r="F6" s="5" t="s">
        <v>903</v>
      </c>
    </row>
    <row r="7" spans="1:7" ht="21.6" customHeight="1">
      <c r="A7" s="7">
        <v>102</v>
      </c>
      <c r="B7" s="7"/>
      <c r="C7" s="4" t="s">
        <v>245</v>
      </c>
      <c r="D7" s="4" t="s">
        <v>904</v>
      </c>
      <c r="E7" s="4" t="s">
        <v>1276</v>
      </c>
      <c r="F7" s="5" t="s">
        <v>905</v>
      </c>
    </row>
    <row r="8" spans="1:7" ht="21.6" customHeight="1">
      <c r="A8" s="7">
        <v>103</v>
      </c>
      <c r="B8" s="7"/>
      <c r="C8" s="4" t="s">
        <v>40</v>
      </c>
      <c r="D8" s="4" t="s">
        <v>906</v>
      </c>
      <c r="E8" s="4" t="s">
        <v>1277</v>
      </c>
      <c r="F8" s="5" t="s">
        <v>907</v>
      </c>
    </row>
    <row r="9" spans="1:7" ht="21.6" customHeight="1">
      <c r="A9" s="7">
        <v>104</v>
      </c>
      <c r="B9" s="7"/>
      <c r="C9" s="4" t="s">
        <v>33</v>
      </c>
      <c r="D9" s="4" t="s">
        <v>908</v>
      </c>
      <c r="E9" s="4" t="s">
        <v>1278</v>
      </c>
      <c r="F9" s="5" t="s">
        <v>909</v>
      </c>
    </row>
    <row r="10" spans="1:7" ht="21.6" customHeight="1">
      <c r="A10" s="7">
        <v>105</v>
      </c>
      <c r="B10" s="7"/>
      <c r="C10" s="4" t="s">
        <v>35</v>
      </c>
      <c r="D10" s="4" t="s">
        <v>910</v>
      </c>
      <c r="E10" s="4" t="s">
        <v>1279</v>
      </c>
      <c r="F10" s="5" t="s">
        <v>911</v>
      </c>
    </row>
    <row r="11" spans="1:7" ht="21.6" customHeight="1">
      <c r="A11" s="7">
        <v>106</v>
      </c>
      <c r="B11" s="7"/>
      <c r="C11" s="4" t="s">
        <v>1031</v>
      </c>
      <c r="D11" s="4" t="s">
        <v>912</v>
      </c>
      <c r="E11" s="4" t="s">
        <v>1280</v>
      </c>
      <c r="F11" s="5" t="s">
        <v>913</v>
      </c>
    </row>
    <row r="12" spans="1:7" ht="21.6" customHeight="1">
      <c r="A12" s="7">
        <v>107</v>
      </c>
      <c r="B12" s="7"/>
      <c r="C12" s="4" t="s">
        <v>32</v>
      </c>
      <c r="D12" s="4" t="s">
        <v>914</v>
      </c>
      <c r="E12" s="4" t="s">
        <v>1281</v>
      </c>
      <c r="F12" s="5" t="s">
        <v>915</v>
      </c>
    </row>
    <row r="13" spans="1:7" ht="21.6" customHeight="1">
      <c r="A13" s="7">
        <v>108</v>
      </c>
      <c r="B13" s="7"/>
      <c r="C13" s="4" t="s">
        <v>1032</v>
      </c>
      <c r="D13" s="4" t="s">
        <v>916</v>
      </c>
      <c r="E13" s="4" t="s">
        <v>1282</v>
      </c>
      <c r="F13" s="5" t="s">
        <v>917</v>
      </c>
    </row>
    <row r="14" spans="1:7" ht="21.6" customHeight="1">
      <c r="A14" s="7">
        <v>109</v>
      </c>
      <c r="B14" s="7"/>
      <c r="C14" s="4" t="s">
        <v>1033</v>
      </c>
      <c r="D14" s="4" t="s">
        <v>918</v>
      </c>
      <c r="E14" s="4" t="s">
        <v>1283</v>
      </c>
      <c r="F14" s="5" t="s">
        <v>919</v>
      </c>
    </row>
    <row r="15" spans="1:7" ht="21.6" customHeight="1">
      <c r="A15" s="7">
        <v>110</v>
      </c>
      <c r="B15" s="7"/>
      <c r="C15" s="4" t="s">
        <v>1025</v>
      </c>
      <c r="D15" s="4" t="s">
        <v>920</v>
      </c>
      <c r="E15" s="4" t="s">
        <v>1284</v>
      </c>
      <c r="F15" s="5" t="s">
        <v>921</v>
      </c>
      <c r="G15" s="1" t="s">
        <v>1383</v>
      </c>
    </row>
    <row r="16" spans="1:7" ht="21.6" customHeight="1">
      <c r="A16" s="7">
        <v>111</v>
      </c>
      <c r="B16" s="7"/>
      <c r="C16" s="4" t="s">
        <v>1026</v>
      </c>
      <c r="D16" s="4" t="s">
        <v>922</v>
      </c>
      <c r="E16" s="4" t="s">
        <v>1285</v>
      </c>
      <c r="F16" s="5" t="s">
        <v>923</v>
      </c>
    </row>
    <row r="17" spans="1:12" ht="21.6" customHeight="1">
      <c r="A17" s="7">
        <v>112</v>
      </c>
      <c r="B17" s="7"/>
      <c r="C17" s="4" t="s">
        <v>1027</v>
      </c>
      <c r="D17" s="4" t="s">
        <v>924</v>
      </c>
      <c r="E17" s="4" t="s">
        <v>1286</v>
      </c>
      <c r="F17" s="5" t="s">
        <v>925</v>
      </c>
    </row>
    <row r="18" spans="1:12" ht="21.6" customHeight="1">
      <c r="A18" s="7">
        <v>115</v>
      </c>
      <c r="B18" s="7"/>
      <c r="C18" s="4" t="s">
        <v>1034</v>
      </c>
      <c r="D18" s="4" t="s">
        <v>930</v>
      </c>
      <c r="E18" s="4" t="s">
        <v>1287</v>
      </c>
      <c r="F18" s="5" t="s">
        <v>938</v>
      </c>
    </row>
    <row r="19" spans="1:12" ht="21.6" customHeight="1">
      <c r="A19" s="7">
        <v>116</v>
      </c>
      <c r="B19" s="7"/>
      <c r="C19" s="4" t="s">
        <v>1028</v>
      </c>
      <c r="D19" s="4" t="s">
        <v>931</v>
      </c>
      <c r="E19" s="4" t="s">
        <v>1288</v>
      </c>
      <c r="F19" s="5" t="s">
        <v>932</v>
      </c>
    </row>
    <row r="20" spans="1:12" ht="21.6" customHeight="1">
      <c r="A20" s="7">
        <v>117</v>
      </c>
      <c r="B20" s="7"/>
      <c r="C20" s="4" t="s">
        <v>1035</v>
      </c>
      <c r="D20" s="4" t="s">
        <v>933</v>
      </c>
      <c r="E20" s="4" t="s">
        <v>1289</v>
      </c>
      <c r="F20" s="5" t="s">
        <v>934</v>
      </c>
    </row>
    <row r="21" spans="1:12" ht="21.6" customHeight="1">
      <c r="A21" s="7">
        <v>118</v>
      </c>
      <c r="B21" s="7"/>
      <c r="C21" s="4" t="s">
        <v>1036</v>
      </c>
      <c r="D21" s="4" t="s">
        <v>935</v>
      </c>
      <c r="E21" s="4" t="s">
        <v>1290</v>
      </c>
      <c r="F21" s="5" t="s">
        <v>936</v>
      </c>
    </row>
    <row r="22" spans="1:12" ht="21.6" customHeight="1">
      <c r="A22" s="7">
        <v>5</v>
      </c>
      <c r="B22" s="7"/>
      <c r="C22" s="4" t="s">
        <v>1067</v>
      </c>
      <c r="D22" s="4" t="s">
        <v>1123</v>
      </c>
      <c r="E22" s="4" t="s">
        <v>940</v>
      </c>
      <c r="F22" s="5" t="s">
        <v>52</v>
      </c>
      <c r="L22" s="4" t="s">
        <v>51</v>
      </c>
    </row>
    <row r="23" spans="1:12" ht="21.6" customHeight="1">
      <c r="A23" s="7">
        <v>6</v>
      </c>
      <c r="B23" s="7"/>
      <c r="C23" s="4" t="s">
        <v>1068</v>
      </c>
      <c r="D23" s="4" t="s">
        <v>1124</v>
      </c>
      <c r="E23" s="4" t="s">
        <v>53</v>
      </c>
      <c r="F23" s="5" t="s">
        <v>54</v>
      </c>
      <c r="L23" s="4" t="s">
        <v>53</v>
      </c>
    </row>
    <row r="24" spans="1:12" ht="21.6" customHeight="1">
      <c r="A24" s="7">
        <v>7</v>
      </c>
      <c r="B24" s="7"/>
      <c r="C24" s="4" t="s">
        <v>1069</v>
      </c>
      <c r="D24" s="4" t="s">
        <v>1125</v>
      </c>
      <c r="E24" s="4" t="s">
        <v>55</v>
      </c>
      <c r="F24" s="5" t="s">
        <v>56</v>
      </c>
      <c r="L24" s="4" t="s">
        <v>55</v>
      </c>
    </row>
    <row r="25" spans="1:12" ht="21.6" customHeight="1">
      <c r="A25" s="7">
        <v>8</v>
      </c>
      <c r="B25" s="7"/>
      <c r="C25" s="4" t="s">
        <v>1070</v>
      </c>
      <c r="D25" s="4" t="s">
        <v>1165</v>
      </c>
      <c r="E25" s="4" t="s">
        <v>57</v>
      </c>
      <c r="F25" s="5" t="s">
        <v>58</v>
      </c>
      <c r="L25" s="4" t="s">
        <v>57</v>
      </c>
    </row>
    <row r="26" spans="1:12" ht="21.6" customHeight="1">
      <c r="A26" s="7">
        <v>9</v>
      </c>
      <c r="B26" s="7"/>
      <c r="C26" s="4" t="s">
        <v>1071</v>
      </c>
      <c r="D26" s="4" t="s">
        <v>1166</v>
      </c>
      <c r="E26" s="4" t="s">
        <v>59</v>
      </c>
      <c r="F26" s="5" t="s">
        <v>60</v>
      </c>
      <c r="L26" s="4" t="s">
        <v>59</v>
      </c>
    </row>
    <row r="27" spans="1:12" ht="21.6" customHeight="1">
      <c r="A27" s="7">
        <v>10</v>
      </c>
      <c r="B27" s="7"/>
      <c r="C27" s="4" t="s">
        <v>1072</v>
      </c>
      <c r="D27" s="4" t="s">
        <v>1167</v>
      </c>
      <c r="E27" s="4" t="s">
        <v>61</v>
      </c>
      <c r="F27" s="5" t="s">
        <v>62</v>
      </c>
      <c r="L27" s="4" t="s">
        <v>61</v>
      </c>
    </row>
    <row r="28" spans="1:12" ht="21.6" customHeight="1">
      <c r="A28" s="7">
        <v>11</v>
      </c>
      <c r="B28" s="7"/>
      <c r="C28" s="4" t="s">
        <v>1073</v>
      </c>
      <c r="D28" s="4" t="s">
        <v>1168</v>
      </c>
      <c r="E28" s="4" t="s">
        <v>63</v>
      </c>
      <c r="F28" s="5" t="s">
        <v>64</v>
      </c>
      <c r="L28" s="4" t="s">
        <v>63</v>
      </c>
    </row>
    <row r="29" spans="1:12" ht="21.6" customHeight="1">
      <c r="A29" s="7">
        <v>12</v>
      </c>
      <c r="B29" s="7"/>
      <c r="C29" s="4" t="s">
        <v>1074</v>
      </c>
      <c r="D29" s="4" t="s">
        <v>1169</v>
      </c>
      <c r="E29" s="4" t="s">
        <v>65</v>
      </c>
      <c r="F29" s="5" t="s">
        <v>66</v>
      </c>
      <c r="L29" s="4" t="s">
        <v>65</v>
      </c>
    </row>
    <row r="30" spans="1:12" ht="21.6" customHeight="1">
      <c r="A30" s="7">
        <v>13</v>
      </c>
      <c r="B30" s="7"/>
      <c r="C30" s="4" t="s">
        <v>1075</v>
      </c>
      <c r="D30" s="4" t="s">
        <v>1170</v>
      </c>
      <c r="E30" s="4" t="s">
        <v>67</v>
      </c>
      <c r="F30" s="5" t="s">
        <v>68</v>
      </c>
      <c r="L30" s="4" t="s">
        <v>67</v>
      </c>
    </row>
    <row r="31" spans="1:12" ht="21.6" customHeight="1">
      <c r="A31" s="7">
        <v>16</v>
      </c>
      <c r="B31" s="7"/>
      <c r="C31" s="4" t="s">
        <v>1076</v>
      </c>
      <c r="D31" s="4" t="s">
        <v>1126</v>
      </c>
      <c r="E31" s="4" t="s">
        <v>69</v>
      </c>
      <c r="F31" s="5" t="s">
        <v>70</v>
      </c>
      <c r="L31" s="4" t="s">
        <v>69</v>
      </c>
    </row>
    <row r="32" spans="1:12" ht="21.6" customHeight="1">
      <c r="A32" s="7">
        <v>17</v>
      </c>
      <c r="B32" s="7"/>
      <c r="C32" s="4" t="s">
        <v>1077</v>
      </c>
      <c r="D32" s="4" t="s">
        <v>1127</v>
      </c>
      <c r="E32" s="4" t="s">
        <v>71</v>
      </c>
      <c r="F32" s="5" t="s">
        <v>72</v>
      </c>
      <c r="L32" s="4" t="s">
        <v>71</v>
      </c>
    </row>
    <row r="33" spans="1:12" ht="21.6" customHeight="1">
      <c r="A33" s="7">
        <v>18</v>
      </c>
      <c r="B33" s="7"/>
      <c r="C33" s="4" t="s">
        <v>1078</v>
      </c>
      <c r="D33" s="4" t="s">
        <v>1128</v>
      </c>
      <c r="E33" s="4" t="s">
        <v>73</v>
      </c>
      <c r="F33" s="5" t="s">
        <v>74</v>
      </c>
      <c r="L33" s="4" t="s">
        <v>73</v>
      </c>
    </row>
    <row r="34" spans="1:12" ht="21.6" customHeight="1">
      <c r="A34" s="7">
        <v>22</v>
      </c>
      <c r="B34" s="7"/>
      <c r="C34" s="4" t="s">
        <v>1079</v>
      </c>
      <c r="D34" s="4" t="s">
        <v>1129</v>
      </c>
      <c r="E34" s="4" t="s">
        <v>75</v>
      </c>
      <c r="F34" s="5" t="s">
        <v>76</v>
      </c>
      <c r="L34" s="4" t="s">
        <v>75</v>
      </c>
    </row>
    <row r="35" spans="1:12" ht="21.6" customHeight="1">
      <c r="A35" s="7">
        <v>23</v>
      </c>
      <c r="B35" s="7"/>
      <c r="C35" s="4" t="s">
        <v>1080</v>
      </c>
      <c r="D35" s="4" t="s">
        <v>1130</v>
      </c>
      <c r="E35" s="4" t="s">
        <v>77</v>
      </c>
      <c r="F35" s="5" t="s">
        <v>78</v>
      </c>
      <c r="L35" s="4" t="s">
        <v>77</v>
      </c>
    </row>
    <row r="36" spans="1:12" ht="21.6" customHeight="1">
      <c r="A36" s="7">
        <v>24</v>
      </c>
      <c r="B36" s="7"/>
      <c r="C36" s="4" t="s">
        <v>1081</v>
      </c>
      <c r="D36" s="4" t="s">
        <v>1131</v>
      </c>
      <c r="E36" s="4" t="s">
        <v>79</v>
      </c>
      <c r="F36" s="5" t="s">
        <v>80</v>
      </c>
      <c r="L36" s="4" t="s">
        <v>79</v>
      </c>
    </row>
    <row r="37" spans="1:12" ht="21.6" customHeight="1">
      <c r="A37" s="7">
        <v>25</v>
      </c>
      <c r="B37" s="7"/>
      <c r="C37" s="4" t="s">
        <v>1082</v>
      </c>
      <c r="D37" s="4" t="s">
        <v>1132</v>
      </c>
      <c r="E37" s="4" t="s">
        <v>81</v>
      </c>
      <c r="F37" s="5" t="s">
        <v>82</v>
      </c>
      <c r="L37" s="4" t="s">
        <v>81</v>
      </c>
    </row>
    <row r="38" spans="1:12" ht="21.6" customHeight="1">
      <c r="A38" s="7">
        <v>26</v>
      </c>
      <c r="B38" s="7"/>
      <c r="C38" s="4" t="s">
        <v>1083</v>
      </c>
      <c r="D38" s="4" t="s">
        <v>1133</v>
      </c>
      <c r="E38" s="4" t="s">
        <v>83</v>
      </c>
      <c r="F38" s="5" t="s">
        <v>84</v>
      </c>
      <c r="L38" s="4" t="s">
        <v>83</v>
      </c>
    </row>
    <row r="39" spans="1:12" ht="21.6" customHeight="1">
      <c r="A39" s="7">
        <v>27</v>
      </c>
      <c r="B39" s="7"/>
      <c r="C39" s="4" t="s">
        <v>1084</v>
      </c>
      <c r="D39" s="4" t="s">
        <v>1134</v>
      </c>
      <c r="E39" s="4" t="s">
        <v>85</v>
      </c>
      <c r="F39" s="5" t="s">
        <v>86</v>
      </c>
      <c r="L39" s="4" t="s">
        <v>85</v>
      </c>
    </row>
    <row r="40" spans="1:12" ht="21.6" customHeight="1">
      <c r="A40" s="7">
        <v>28</v>
      </c>
      <c r="B40" s="7"/>
      <c r="C40" s="4" t="s">
        <v>1085</v>
      </c>
      <c r="D40" s="4" t="s">
        <v>1135</v>
      </c>
      <c r="E40" s="4" t="s">
        <v>87</v>
      </c>
      <c r="F40" s="5" t="s">
        <v>88</v>
      </c>
      <c r="L40" s="4" t="s">
        <v>87</v>
      </c>
    </row>
    <row r="41" spans="1:12" ht="21.6" customHeight="1">
      <c r="A41" s="7">
        <v>34</v>
      </c>
      <c r="B41" s="7"/>
      <c r="C41" s="4" t="s">
        <v>1086</v>
      </c>
      <c r="D41" s="4" t="s">
        <v>1136</v>
      </c>
      <c r="E41" s="4" t="s">
        <v>89</v>
      </c>
      <c r="F41" s="5" t="s">
        <v>90</v>
      </c>
      <c r="L41" s="4" t="s">
        <v>89</v>
      </c>
    </row>
    <row r="42" spans="1:12" ht="21.6" customHeight="1">
      <c r="A42" s="7">
        <v>35</v>
      </c>
      <c r="B42" s="7"/>
      <c r="C42" s="4" t="s">
        <v>1352</v>
      </c>
      <c r="D42" s="4" t="s">
        <v>1353</v>
      </c>
      <c r="E42" s="4" t="s">
        <v>1354</v>
      </c>
      <c r="F42" s="5" t="s">
        <v>92</v>
      </c>
      <c r="L42" s="4" t="s">
        <v>91</v>
      </c>
    </row>
    <row r="43" spans="1:12" ht="21.6" customHeight="1">
      <c r="A43" s="7">
        <v>36</v>
      </c>
      <c r="B43" s="7"/>
      <c r="C43" s="4" t="s">
        <v>1355</v>
      </c>
      <c r="D43" s="4" t="s">
        <v>1356</v>
      </c>
      <c r="E43" s="4" t="s">
        <v>1357</v>
      </c>
      <c r="F43" s="5" t="s">
        <v>94</v>
      </c>
      <c r="L43" s="4" t="s">
        <v>93</v>
      </c>
    </row>
    <row r="44" spans="1:12" ht="21.6" customHeight="1">
      <c r="A44" s="7">
        <v>37</v>
      </c>
      <c r="B44" s="7"/>
      <c r="C44" s="4" t="s">
        <v>1358</v>
      </c>
      <c r="D44" s="4" t="s">
        <v>1137</v>
      </c>
      <c r="E44" s="4" t="s">
        <v>95</v>
      </c>
      <c r="F44" s="5" t="s">
        <v>96</v>
      </c>
      <c r="L44" s="4" t="s">
        <v>95</v>
      </c>
    </row>
    <row r="45" spans="1:12" ht="21.6" customHeight="1">
      <c r="A45" s="7">
        <v>38</v>
      </c>
      <c r="B45" s="7"/>
      <c r="C45" s="4" t="s">
        <v>1359</v>
      </c>
      <c r="D45" s="4" t="s">
        <v>1138</v>
      </c>
      <c r="E45" s="4" t="s">
        <v>97</v>
      </c>
      <c r="F45" s="5" t="s">
        <v>98</v>
      </c>
      <c r="L45" s="4" t="s">
        <v>97</v>
      </c>
    </row>
    <row r="46" spans="1:12" ht="21.6" customHeight="1">
      <c r="A46" s="7">
        <v>51</v>
      </c>
      <c r="B46" s="7"/>
      <c r="C46" s="4" t="s">
        <v>1087</v>
      </c>
      <c r="D46" s="4" t="s">
        <v>1139</v>
      </c>
      <c r="E46" s="4" t="s">
        <v>99</v>
      </c>
      <c r="F46" s="5" t="s">
        <v>100</v>
      </c>
      <c r="L46" s="4" t="s">
        <v>117</v>
      </c>
    </row>
    <row r="47" spans="1:12" ht="21.6" customHeight="1">
      <c r="A47" s="7">
        <v>52</v>
      </c>
      <c r="B47" s="7"/>
      <c r="C47" s="4" t="s">
        <v>1088</v>
      </c>
      <c r="D47" s="4" t="s">
        <v>1140</v>
      </c>
      <c r="E47" s="4" t="s">
        <v>101</v>
      </c>
      <c r="F47" s="5" t="s">
        <v>102</v>
      </c>
      <c r="L47" s="4" t="s">
        <v>119</v>
      </c>
    </row>
    <row r="48" spans="1:12" ht="21.6" customHeight="1">
      <c r="A48" s="7">
        <v>53</v>
      </c>
      <c r="B48" s="7"/>
      <c r="C48" s="4" t="s">
        <v>1089</v>
      </c>
      <c r="D48" s="4" t="s">
        <v>1171</v>
      </c>
      <c r="E48" s="4" t="s">
        <v>103</v>
      </c>
      <c r="F48" s="5" t="s">
        <v>104</v>
      </c>
      <c r="L48" s="4" t="s">
        <v>121</v>
      </c>
    </row>
    <row r="49" spans="1:12" ht="21.6" customHeight="1">
      <c r="A49" s="7">
        <v>54</v>
      </c>
      <c r="B49" s="7"/>
      <c r="C49" s="4" t="s">
        <v>1090</v>
      </c>
      <c r="D49" s="4" t="s">
        <v>1172</v>
      </c>
      <c r="E49" s="4" t="s">
        <v>105</v>
      </c>
      <c r="F49" s="5" t="s">
        <v>106</v>
      </c>
      <c r="L49" s="4" t="s">
        <v>123</v>
      </c>
    </row>
    <row r="50" spans="1:12" ht="21.6" customHeight="1">
      <c r="A50" s="7">
        <v>55</v>
      </c>
      <c r="B50" s="7"/>
      <c r="C50" s="4" t="s">
        <v>1091</v>
      </c>
      <c r="D50" s="4" t="s">
        <v>1173</v>
      </c>
      <c r="E50" s="4" t="s">
        <v>107</v>
      </c>
      <c r="F50" s="5" t="s">
        <v>108</v>
      </c>
      <c r="L50" s="4" t="s">
        <v>125</v>
      </c>
    </row>
    <row r="51" spans="1:12" ht="21.6" customHeight="1">
      <c r="A51" s="7">
        <v>56</v>
      </c>
      <c r="B51" s="7"/>
      <c r="C51" s="4" t="s">
        <v>1092</v>
      </c>
      <c r="D51" s="4" t="s">
        <v>1174</v>
      </c>
      <c r="E51" s="4" t="s">
        <v>109</v>
      </c>
      <c r="F51" s="5" t="s">
        <v>110</v>
      </c>
      <c r="L51" s="4" t="s">
        <v>127</v>
      </c>
    </row>
    <row r="52" spans="1:12" ht="21.6" customHeight="1">
      <c r="A52" s="7">
        <v>57</v>
      </c>
      <c r="B52" s="7"/>
      <c r="C52" s="4" t="s">
        <v>1093</v>
      </c>
      <c r="D52" s="4" t="s">
        <v>1141</v>
      </c>
      <c r="E52" s="4" t="s">
        <v>111</v>
      </c>
      <c r="F52" s="5" t="s">
        <v>112</v>
      </c>
      <c r="L52" s="4" t="s">
        <v>129</v>
      </c>
    </row>
    <row r="53" spans="1:12" ht="21.6" customHeight="1">
      <c r="A53" s="7">
        <v>58</v>
      </c>
      <c r="B53" s="7"/>
      <c r="C53" s="4" t="s">
        <v>1094</v>
      </c>
      <c r="D53" s="4" t="s">
        <v>1142</v>
      </c>
      <c r="E53" s="4" t="s">
        <v>113</v>
      </c>
      <c r="F53" s="5" t="s">
        <v>114</v>
      </c>
      <c r="L53" s="4" t="s">
        <v>131</v>
      </c>
    </row>
    <row r="54" spans="1:12" ht="21.6" customHeight="1">
      <c r="A54" s="7">
        <v>59</v>
      </c>
      <c r="B54" s="7"/>
      <c r="C54" s="4" t="s">
        <v>1095</v>
      </c>
      <c r="D54" s="4" t="s">
        <v>1143</v>
      </c>
      <c r="E54" s="4" t="s">
        <v>115</v>
      </c>
      <c r="F54" s="5" t="s">
        <v>116</v>
      </c>
      <c r="L54" s="4" t="s">
        <v>133</v>
      </c>
    </row>
    <row r="55" spans="1:12" ht="21.6" customHeight="1">
      <c r="A55" s="7">
        <v>60</v>
      </c>
      <c r="B55" s="7"/>
      <c r="C55" s="4" t="s">
        <v>1096</v>
      </c>
      <c r="D55" s="4" t="s">
        <v>1144</v>
      </c>
      <c r="E55" s="4" t="s">
        <v>117</v>
      </c>
      <c r="F55" s="5" t="s">
        <v>118</v>
      </c>
      <c r="L55" s="4" t="s">
        <v>135</v>
      </c>
    </row>
    <row r="56" spans="1:12" ht="21.6" customHeight="1">
      <c r="A56" s="7">
        <v>61</v>
      </c>
      <c r="B56" s="7"/>
      <c r="C56" s="4" t="s">
        <v>1097</v>
      </c>
      <c r="D56" s="4" t="s">
        <v>1145</v>
      </c>
      <c r="E56" s="4" t="s">
        <v>119</v>
      </c>
      <c r="F56" s="5" t="s">
        <v>120</v>
      </c>
      <c r="L56" s="4" t="s">
        <v>137</v>
      </c>
    </row>
    <row r="57" spans="1:12" ht="21.6" customHeight="1">
      <c r="A57" s="7">
        <v>62</v>
      </c>
      <c r="B57" s="7"/>
      <c r="C57" s="4" t="s">
        <v>1098</v>
      </c>
      <c r="D57" s="4" t="s">
        <v>1146</v>
      </c>
      <c r="E57" s="4" t="s">
        <v>121</v>
      </c>
      <c r="F57" s="5" t="s">
        <v>122</v>
      </c>
      <c r="L57" s="4" t="s">
        <v>139</v>
      </c>
    </row>
    <row r="58" spans="1:12" ht="21.6" customHeight="1">
      <c r="A58" s="7">
        <v>63</v>
      </c>
      <c r="B58" s="7"/>
      <c r="C58" s="4" t="s">
        <v>1099</v>
      </c>
      <c r="D58" s="4" t="s">
        <v>1175</v>
      </c>
      <c r="E58" s="4" t="s">
        <v>123</v>
      </c>
      <c r="F58" s="5" t="s">
        <v>124</v>
      </c>
      <c r="L58" s="4" t="s">
        <v>141</v>
      </c>
    </row>
    <row r="59" spans="1:12" ht="21.6" customHeight="1">
      <c r="A59" s="7">
        <v>64</v>
      </c>
      <c r="B59" s="7"/>
      <c r="C59" s="4" t="s">
        <v>1100</v>
      </c>
      <c r="D59" s="4" t="s">
        <v>1176</v>
      </c>
      <c r="E59" s="4" t="s">
        <v>125</v>
      </c>
      <c r="F59" s="5" t="s">
        <v>126</v>
      </c>
      <c r="L59" s="4" t="s">
        <v>143</v>
      </c>
    </row>
    <row r="60" spans="1:12" ht="21.6" customHeight="1">
      <c r="A60" s="7">
        <v>65</v>
      </c>
      <c r="B60" s="7"/>
      <c r="C60" s="4" t="s">
        <v>1101</v>
      </c>
      <c r="D60" s="4" t="s">
        <v>1177</v>
      </c>
      <c r="E60" s="4" t="s">
        <v>127</v>
      </c>
      <c r="F60" s="5" t="s">
        <v>128</v>
      </c>
      <c r="L60" s="4" t="s">
        <v>145</v>
      </c>
    </row>
    <row r="61" spans="1:12" ht="21.6" customHeight="1">
      <c r="A61" s="7">
        <v>66</v>
      </c>
      <c r="B61" s="7"/>
      <c r="C61" s="4" t="s">
        <v>1102</v>
      </c>
      <c r="D61" s="4" t="s">
        <v>1178</v>
      </c>
      <c r="E61" s="4" t="s">
        <v>129</v>
      </c>
      <c r="F61" s="5" t="s">
        <v>130</v>
      </c>
      <c r="L61" s="4" t="s">
        <v>1363</v>
      </c>
    </row>
    <row r="62" spans="1:12" ht="21.6" customHeight="1">
      <c r="A62" s="7">
        <v>70</v>
      </c>
      <c r="B62" s="7"/>
      <c r="C62" s="4" t="s">
        <v>1103</v>
      </c>
      <c r="D62" s="4" t="s">
        <v>1147</v>
      </c>
      <c r="E62" s="4" t="s">
        <v>131</v>
      </c>
      <c r="F62" s="5" t="s">
        <v>132</v>
      </c>
      <c r="L62" s="4" t="s">
        <v>154</v>
      </c>
    </row>
    <row r="63" spans="1:12" ht="21.6" customHeight="1">
      <c r="A63" s="7">
        <v>71</v>
      </c>
      <c r="B63" s="7"/>
      <c r="C63" s="4" t="s">
        <v>1104</v>
      </c>
      <c r="D63" s="4" t="s">
        <v>1148</v>
      </c>
      <c r="E63" s="4" t="s">
        <v>133</v>
      </c>
      <c r="F63" s="5" t="s">
        <v>134</v>
      </c>
      <c r="L63" s="4" t="s">
        <v>1362</v>
      </c>
    </row>
    <row r="64" spans="1:12" ht="21.6" customHeight="1">
      <c r="A64" s="7">
        <v>72</v>
      </c>
      <c r="B64" s="7"/>
      <c r="C64" s="4" t="s">
        <v>1105</v>
      </c>
      <c r="D64" s="4" t="s">
        <v>1149</v>
      </c>
      <c r="E64" s="4" t="s">
        <v>135</v>
      </c>
      <c r="F64" s="5" t="s">
        <v>136</v>
      </c>
      <c r="L64" s="4" t="s">
        <v>1361</v>
      </c>
    </row>
    <row r="65" spans="1:12" ht="21.6" customHeight="1">
      <c r="A65" s="7">
        <v>73</v>
      </c>
      <c r="B65" s="7"/>
      <c r="C65" s="4" t="s">
        <v>1106</v>
      </c>
      <c r="D65" s="4" t="s">
        <v>1150</v>
      </c>
      <c r="E65" s="4" t="s">
        <v>137</v>
      </c>
      <c r="F65" s="5" t="s">
        <v>138</v>
      </c>
      <c r="L65" s="4" t="s">
        <v>1360</v>
      </c>
    </row>
    <row r="66" spans="1:12" ht="21.6" customHeight="1">
      <c r="A66" s="7">
        <v>74</v>
      </c>
      <c r="B66" s="7"/>
      <c r="C66" s="4" t="s">
        <v>1107</v>
      </c>
      <c r="D66" s="4" t="s">
        <v>1151</v>
      </c>
      <c r="E66" s="4" t="s">
        <v>139</v>
      </c>
      <c r="F66" s="5" t="s">
        <v>140</v>
      </c>
    </row>
    <row r="67" spans="1:12" ht="21.6" customHeight="1">
      <c r="A67" s="7">
        <v>75</v>
      </c>
      <c r="B67" s="7"/>
      <c r="C67" s="4" t="s">
        <v>1108</v>
      </c>
      <c r="D67" s="4" t="s">
        <v>1152</v>
      </c>
      <c r="E67" s="4" t="s">
        <v>141</v>
      </c>
      <c r="F67" s="5" t="s">
        <v>142</v>
      </c>
    </row>
    <row r="68" spans="1:12" ht="21.6" customHeight="1">
      <c r="A68" s="7">
        <v>76</v>
      </c>
      <c r="B68" s="7"/>
      <c r="C68" s="4" t="s">
        <v>1109</v>
      </c>
      <c r="D68" s="4" t="s">
        <v>1153</v>
      </c>
      <c r="E68" s="4" t="s">
        <v>143</v>
      </c>
      <c r="F68" s="5" t="s">
        <v>144</v>
      </c>
    </row>
    <row r="69" spans="1:12" ht="21.6" customHeight="1">
      <c r="A69" s="7">
        <v>77</v>
      </c>
      <c r="B69" s="7"/>
      <c r="C69" s="4" t="s">
        <v>1110</v>
      </c>
      <c r="D69" s="4" t="s">
        <v>1154</v>
      </c>
      <c r="E69" s="4" t="s">
        <v>145</v>
      </c>
      <c r="F69" s="5" t="s">
        <v>146</v>
      </c>
    </row>
    <row r="70" spans="1:12" ht="21.6" customHeight="1">
      <c r="A70" s="7">
        <v>84</v>
      </c>
      <c r="B70" s="7"/>
      <c r="C70" s="4" t="s">
        <v>1111</v>
      </c>
      <c r="D70" s="4" t="s">
        <v>1155</v>
      </c>
      <c r="E70" s="4" t="s">
        <v>147</v>
      </c>
      <c r="F70" s="5" t="s">
        <v>148</v>
      </c>
    </row>
    <row r="71" spans="1:12" ht="21.6" customHeight="1">
      <c r="A71" s="7">
        <v>85</v>
      </c>
      <c r="B71" s="7"/>
      <c r="C71" s="4" t="s">
        <v>1112</v>
      </c>
      <c r="D71" s="4" t="s">
        <v>1156</v>
      </c>
      <c r="E71" s="4" t="s">
        <v>162</v>
      </c>
      <c r="F71" s="5" t="s">
        <v>149</v>
      </c>
    </row>
    <row r="72" spans="1:12" ht="21.6" customHeight="1">
      <c r="A72" s="7">
        <v>86</v>
      </c>
      <c r="B72" s="7"/>
      <c r="C72" s="4" t="s">
        <v>1113</v>
      </c>
      <c r="D72" s="4" t="s">
        <v>1157</v>
      </c>
      <c r="E72" s="4" t="s">
        <v>150</v>
      </c>
      <c r="F72" s="5" t="s">
        <v>151</v>
      </c>
    </row>
    <row r="73" spans="1:12" ht="21.6" customHeight="1">
      <c r="A73" s="7">
        <v>87</v>
      </c>
      <c r="B73" s="7"/>
      <c r="C73" s="4" t="s">
        <v>1114</v>
      </c>
      <c r="D73" s="4" t="s">
        <v>1158</v>
      </c>
      <c r="E73" s="4" t="s">
        <v>152</v>
      </c>
      <c r="F73" s="5" t="s">
        <v>153</v>
      </c>
    </row>
    <row r="74" spans="1:12" ht="21.6" customHeight="1">
      <c r="A74" s="7">
        <v>88</v>
      </c>
      <c r="B74" s="7"/>
      <c r="C74" s="4" t="s">
        <v>1115</v>
      </c>
      <c r="D74" s="4" t="s">
        <v>1159</v>
      </c>
      <c r="E74" s="4" t="s">
        <v>154</v>
      </c>
      <c r="F74" s="5" t="s">
        <v>155</v>
      </c>
    </row>
    <row r="75" spans="1:12" ht="21.6" customHeight="1">
      <c r="A75" s="7">
        <v>89</v>
      </c>
      <c r="B75" s="7"/>
      <c r="C75" s="4" t="s">
        <v>1116</v>
      </c>
      <c r="D75" s="4" t="s">
        <v>1160</v>
      </c>
      <c r="E75" s="4" t="s">
        <v>156</v>
      </c>
      <c r="F75" s="5" t="s">
        <v>157</v>
      </c>
    </row>
    <row r="76" spans="1:12" ht="21.6" customHeight="1">
      <c r="A76" s="7">
        <v>90</v>
      </c>
      <c r="B76" s="7"/>
      <c r="C76" s="4" t="s">
        <v>1117</v>
      </c>
      <c r="D76" s="4" t="s">
        <v>1161</v>
      </c>
      <c r="E76" s="4" t="s">
        <v>158</v>
      </c>
      <c r="F76" s="5" t="s">
        <v>159</v>
      </c>
    </row>
    <row r="77" spans="1:12" ht="21.6" customHeight="1">
      <c r="A77" s="7">
        <v>91</v>
      </c>
      <c r="B77" s="7"/>
      <c r="C77" s="4" t="s">
        <v>1118</v>
      </c>
      <c r="D77" s="4" t="s">
        <v>1162</v>
      </c>
      <c r="E77" s="4" t="s">
        <v>160</v>
      </c>
      <c r="F77" s="5" t="s">
        <v>161</v>
      </c>
    </row>
    <row r="78" spans="1:12" ht="21.6" customHeight="1">
      <c r="A78" s="7">
        <v>100</v>
      </c>
      <c r="B78" s="7"/>
      <c r="C78" s="4"/>
      <c r="D78" s="4"/>
      <c r="E78" s="4"/>
      <c r="F78" s="5"/>
    </row>
    <row r="79" spans="1:12" ht="21.6" customHeight="1">
      <c r="A79" s="7">
        <v>119</v>
      </c>
      <c r="B79" s="7"/>
      <c r="C79" s="4" t="s">
        <v>1037</v>
      </c>
      <c r="D79" s="4" t="s">
        <v>997</v>
      </c>
      <c r="E79" s="4" t="s">
        <v>1291</v>
      </c>
      <c r="F79" s="5" t="s">
        <v>941</v>
      </c>
    </row>
    <row r="80" spans="1:12" ht="21.6" customHeight="1">
      <c r="A80" s="7">
        <v>120</v>
      </c>
      <c r="B80" s="7"/>
      <c r="C80" s="4" t="s">
        <v>1038</v>
      </c>
      <c r="D80" s="4" t="s">
        <v>998</v>
      </c>
      <c r="E80" s="4" t="s">
        <v>1292</v>
      </c>
      <c r="F80" s="5" t="s">
        <v>944</v>
      </c>
    </row>
    <row r="81" spans="1:6" ht="21.6" customHeight="1">
      <c r="A81" s="7">
        <v>121</v>
      </c>
      <c r="B81" s="7"/>
      <c r="C81" s="4" t="s">
        <v>1039</v>
      </c>
      <c r="D81" s="4" t="s">
        <v>999</v>
      </c>
      <c r="E81" s="4" t="s">
        <v>1293</v>
      </c>
      <c r="F81" s="5" t="s">
        <v>946</v>
      </c>
    </row>
    <row r="82" spans="1:6" ht="21.6" customHeight="1">
      <c r="A82" s="7">
        <v>122</v>
      </c>
      <c r="B82" s="7"/>
      <c r="C82" s="4" t="s">
        <v>1040</v>
      </c>
      <c r="D82" s="4" t="s">
        <v>1000</v>
      </c>
      <c r="E82" s="4" t="s">
        <v>1294</v>
      </c>
      <c r="F82" s="5" t="s">
        <v>948</v>
      </c>
    </row>
    <row r="83" spans="1:6" ht="21.6" customHeight="1">
      <c r="A83" s="7">
        <v>123</v>
      </c>
      <c r="B83" s="7"/>
      <c r="C83" s="4" t="s">
        <v>1041</v>
      </c>
      <c r="D83" s="4" t="s">
        <v>1001</v>
      </c>
      <c r="E83" s="4" t="s">
        <v>1295</v>
      </c>
      <c r="F83" s="5" t="s">
        <v>950</v>
      </c>
    </row>
    <row r="84" spans="1:6" ht="21.6" customHeight="1">
      <c r="A84" s="7">
        <v>124</v>
      </c>
      <c r="B84" s="7"/>
      <c r="C84" s="4" t="s">
        <v>1042</v>
      </c>
      <c r="D84" s="4" t="s">
        <v>1002</v>
      </c>
      <c r="E84" s="4" t="s">
        <v>1296</v>
      </c>
      <c r="F84" s="5" t="s">
        <v>952</v>
      </c>
    </row>
    <row r="85" spans="1:6" ht="21.6" customHeight="1">
      <c r="A85" s="7">
        <v>125</v>
      </c>
      <c r="B85" s="7"/>
      <c r="C85" s="4" t="s">
        <v>1043</v>
      </c>
      <c r="D85" s="4" t="s">
        <v>1003</v>
      </c>
      <c r="E85" s="4" t="s">
        <v>1297</v>
      </c>
      <c r="F85" s="5" t="s">
        <v>954</v>
      </c>
    </row>
    <row r="86" spans="1:6" ht="21.6" customHeight="1">
      <c r="A86" s="7">
        <v>126</v>
      </c>
      <c r="B86" s="7"/>
      <c r="C86" s="4" t="s">
        <v>1044</v>
      </c>
      <c r="D86" s="4" t="s">
        <v>1004</v>
      </c>
      <c r="E86" s="4" t="s">
        <v>1298</v>
      </c>
      <c r="F86" s="5" t="s">
        <v>956</v>
      </c>
    </row>
    <row r="87" spans="1:6" ht="21.6" customHeight="1">
      <c r="A87" s="7">
        <v>127</v>
      </c>
      <c r="B87" s="7"/>
      <c r="C87" s="4" t="s">
        <v>1045</v>
      </c>
      <c r="D87" s="4" t="s">
        <v>1005</v>
      </c>
      <c r="E87" s="4" t="s">
        <v>1299</v>
      </c>
      <c r="F87" s="5" t="s">
        <v>958</v>
      </c>
    </row>
    <row r="88" spans="1:6" ht="21.6" customHeight="1">
      <c r="A88" s="7">
        <v>128</v>
      </c>
      <c r="B88" s="7"/>
      <c r="C88" s="4" t="s">
        <v>1046</v>
      </c>
      <c r="D88" s="4" t="s">
        <v>1006</v>
      </c>
      <c r="E88" s="4" t="s">
        <v>1300</v>
      </c>
      <c r="F88" s="5" t="s">
        <v>960</v>
      </c>
    </row>
    <row r="89" spans="1:6" ht="21.6" customHeight="1">
      <c r="A89" s="7">
        <v>129</v>
      </c>
      <c r="B89" s="7"/>
      <c r="C89" s="4" t="s">
        <v>1047</v>
      </c>
      <c r="D89" s="4" t="s">
        <v>1007</v>
      </c>
      <c r="E89" s="4" t="s">
        <v>1301</v>
      </c>
      <c r="F89" s="5" t="s">
        <v>962</v>
      </c>
    </row>
    <row r="90" spans="1:6" ht="21.6" customHeight="1">
      <c r="A90" s="7">
        <v>130</v>
      </c>
      <c r="B90" s="7"/>
      <c r="C90" s="4" t="s">
        <v>1048</v>
      </c>
      <c r="D90" s="4" t="s">
        <v>1008</v>
      </c>
      <c r="E90" s="4" t="s">
        <v>1302</v>
      </c>
      <c r="F90" s="5" t="s">
        <v>964</v>
      </c>
    </row>
    <row r="91" spans="1:6" ht="21.6" customHeight="1">
      <c r="A91" s="7">
        <v>131</v>
      </c>
      <c r="B91" s="7"/>
      <c r="C91" s="4" t="s">
        <v>1049</v>
      </c>
      <c r="D91" s="4" t="s">
        <v>1009</v>
      </c>
      <c r="E91" s="4" t="s">
        <v>1303</v>
      </c>
      <c r="F91" s="5" t="s">
        <v>966</v>
      </c>
    </row>
    <row r="92" spans="1:6" ht="21.6" customHeight="1">
      <c r="A92" s="7">
        <v>132</v>
      </c>
      <c r="B92" s="7"/>
      <c r="C92" s="4" t="s">
        <v>1050</v>
      </c>
      <c r="D92" s="4" t="s">
        <v>1010</v>
      </c>
      <c r="E92" s="4" t="s">
        <v>1304</v>
      </c>
      <c r="F92" s="5" t="s">
        <v>968</v>
      </c>
    </row>
    <row r="93" spans="1:6" ht="21.6" customHeight="1">
      <c r="A93" s="7">
        <v>133</v>
      </c>
      <c r="B93" s="7"/>
      <c r="C93" s="4" t="s">
        <v>1051</v>
      </c>
      <c r="D93" s="4" t="s">
        <v>1011</v>
      </c>
      <c r="E93" s="4" t="s">
        <v>1305</v>
      </c>
      <c r="F93" s="5" t="s">
        <v>970</v>
      </c>
    </row>
    <row r="94" spans="1:6" ht="21.6" customHeight="1">
      <c r="A94" s="7">
        <v>134</v>
      </c>
      <c r="B94" s="7"/>
      <c r="C94" s="4" t="s">
        <v>1052</v>
      </c>
      <c r="D94" s="4" t="s">
        <v>1012</v>
      </c>
      <c r="E94" s="4" t="s">
        <v>1306</v>
      </c>
      <c r="F94" s="5" t="s">
        <v>972</v>
      </c>
    </row>
    <row r="95" spans="1:6" ht="21.6" customHeight="1">
      <c r="A95" s="7">
        <v>135</v>
      </c>
      <c r="B95" s="7"/>
      <c r="C95" s="4" t="s">
        <v>1053</v>
      </c>
      <c r="D95" s="4" t="s">
        <v>1013</v>
      </c>
      <c r="E95" s="4" t="s">
        <v>1307</v>
      </c>
      <c r="F95" s="5" t="s">
        <v>974</v>
      </c>
    </row>
    <row r="96" spans="1:6" ht="21.6" customHeight="1">
      <c r="A96" s="7">
        <v>136</v>
      </c>
      <c r="B96" s="7"/>
      <c r="C96" s="4" t="s">
        <v>1054</v>
      </c>
      <c r="D96" s="4" t="s">
        <v>1014</v>
      </c>
      <c r="E96" s="4" t="s">
        <v>1308</v>
      </c>
      <c r="F96" s="5" t="s">
        <v>976</v>
      </c>
    </row>
    <row r="97" spans="1:6" ht="21.6" customHeight="1">
      <c r="A97" s="7">
        <v>137</v>
      </c>
      <c r="B97" s="7"/>
      <c r="C97" s="4" t="s">
        <v>1055</v>
      </c>
      <c r="D97" s="4" t="s">
        <v>1015</v>
      </c>
      <c r="E97" s="4" t="s">
        <v>1309</v>
      </c>
      <c r="F97" s="5" t="s">
        <v>978</v>
      </c>
    </row>
    <row r="98" spans="1:6" ht="21.6" customHeight="1">
      <c r="A98" s="7">
        <v>138</v>
      </c>
      <c r="B98" s="7"/>
      <c r="C98" s="4" t="s">
        <v>1056</v>
      </c>
      <c r="D98" s="4" t="s">
        <v>1016</v>
      </c>
      <c r="E98" s="4" t="s">
        <v>1310</v>
      </c>
      <c r="F98" s="5" t="s">
        <v>980</v>
      </c>
    </row>
    <row r="99" spans="1:6" ht="21.6" customHeight="1">
      <c r="A99" s="7">
        <v>139</v>
      </c>
      <c r="B99" s="7"/>
      <c r="C99" s="4" t="s">
        <v>1057</v>
      </c>
      <c r="D99" s="4" t="s">
        <v>1017</v>
      </c>
      <c r="E99" s="4" t="s">
        <v>1311</v>
      </c>
      <c r="F99" s="5" t="s">
        <v>982</v>
      </c>
    </row>
    <row r="100" spans="1:6" ht="21.6" customHeight="1">
      <c r="A100" s="7">
        <v>140</v>
      </c>
      <c r="B100" s="7"/>
      <c r="C100" s="4" t="s">
        <v>1058</v>
      </c>
      <c r="D100" s="4" t="s">
        <v>1018</v>
      </c>
      <c r="E100" s="4" t="s">
        <v>1312</v>
      </c>
      <c r="F100" s="5" t="s">
        <v>984</v>
      </c>
    </row>
    <row r="101" spans="1:6" ht="21.6" customHeight="1">
      <c r="A101" s="7">
        <v>141</v>
      </c>
      <c r="B101" s="7"/>
      <c r="C101" s="4" t="s">
        <v>1059</v>
      </c>
      <c r="D101" s="4" t="s">
        <v>1019</v>
      </c>
      <c r="E101" s="4" t="s">
        <v>1313</v>
      </c>
      <c r="F101" s="5" t="s">
        <v>986</v>
      </c>
    </row>
    <row r="102" spans="1:6" ht="21.6" customHeight="1">
      <c r="A102" s="7">
        <v>142</v>
      </c>
      <c r="B102" s="7"/>
      <c r="C102" s="4" t="s">
        <v>1060</v>
      </c>
      <c r="D102" s="4" t="s">
        <v>1020</v>
      </c>
      <c r="E102" s="4" t="s">
        <v>1314</v>
      </c>
      <c r="F102" s="5" t="s">
        <v>988</v>
      </c>
    </row>
    <row r="103" spans="1:6" ht="21.6" customHeight="1">
      <c r="A103" s="7">
        <v>143</v>
      </c>
      <c r="B103" s="7"/>
      <c r="C103" s="4" t="s">
        <v>1061</v>
      </c>
      <c r="D103" s="4" t="s">
        <v>1021</v>
      </c>
      <c r="E103" s="4" t="s">
        <v>1315</v>
      </c>
      <c r="F103" s="5" t="s">
        <v>990</v>
      </c>
    </row>
    <row r="104" spans="1:6" ht="21.6" customHeight="1">
      <c r="A104" s="7">
        <v>144</v>
      </c>
      <c r="B104" s="7"/>
      <c r="C104" s="4" t="s">
        <v>1062</v>
      </c>
      <c r="D104" s="4" t="s">
        <v>1022</v>
      </c>
      <c r="E104" s="4" t="s">
        <v>1316</v>
      </c>
      <c r="F104" s="5" t="s">
        <v>992</v>
      </c>
    </row>
    <row r="105" spans="1:6" ht="21.6" customHeight="1">
      <c r="A105" s="7">
        <v>145</v>
      </c>
      <c r="B105" s="7"/>
      <c r="C105" s="4" t="s">
        <v>1063</v>
      </c>
      <c r="D105" s="4" t="s">
        <v>1023</v>
      </c>
      <c r="E105" s="4" t="s">
        <v>1317</v>
      </c>
      <c r="F105" s="5" t="s">
        <v>994</v>
      </c>
    </row>
    <row r="106" spans="1:6" ht="21.6" customHeight="1">
      <c r="A106" s="7">
        <v>146</v>
      </c>
      <c r="B106" s="7"/>
      <c r="C106" s="4" t="s">
        <v>1064</v>
      </c>
      <c r="D106" s="4" t="s">
        <v>1024</v>
      </c>
      <c r="E106" s="4" t="s">
        <v>1318</v>
      </c>
      <c r="F106" s="5" t="s">
        <v>996</v>
      </c>
    </row>
    <row r="107" spans="1:6" ht="21.6" customHeight="1">
      <c r="A107" s="7">
        <v>147</v>
      </c>
      <c r="B107" s="7"/>
      <c r="C107" s="4"/>
      <c r="D107" s="4"/>
      <c r="E107" s="4"/>
      <c r="F107" s="5"/>
    </row>
    <row r="108" spans="1:6" ht="21.6" customHeight="1">
      <c r="A108" s="7">
        <v>148</v>
      </c>
      <c r="B108" s="7"/>
      <c r="C108" s="4"/>
      <c r="D108" s="4"/>
      <c r="E108" s="4"/>
      <c r="F108" s="5"/>
    </row>
    <row r="109" spans="1:6" ht="21.6" customHeight="1">
      <c r="A109" s="7">
        <v>149</v>
      </c>
      <c r="B109" s="7" t="s">
        <v>1330</v>
      </c>
      <c r="C109" s="4" t="s">
        <v>1210</v>
      </c>
      <c r="D109" s="4" t="s">
        <v>1179</v>
      </c>
      <c r="E109" s="4" t="s">
        <v>1242</v>
      </c>
      <c r="F109" s="5"/>
    </row>
    <row r="110" spans="1:6" ht="21.6" customHeight="1">
      <c r="A110" s="7">
        <v>150</v>
      </c>
      <c r="B110" s="7" t="s">
        <v>1330</v>
      </c>
      <c r="C110" s="4" t="s">
        <v>1320</v>
      </c>
      <c r="D110" s="4" t="s">
        <v>1319</v>
      </c>
      <c r="E110" s="4" t="s">
        <v>1321</v>
      </c>
      <c r="F110" s="5"/>
    </row>
    <row r="111" spans="1:6" ht="21.6" customHeight="1">
      <c r="A111" s="7">
        <v>151</v>
      </c>
      <c r="B111" s="7" t="s">
        <v>1330</v>
      </c>
      <c r="C111" s="4" t="s">
        <v>1211</v>
      </c>
      <c r="D111" s="4" t="s">
        <v>1180</v>
      </c>
      <c r="E111" s="4" t="s">
        <v>1243</v>
      </c>
      <c r="F111" s="5"/>
    </row>
    <row r="112" spans="1:6" ht="21.6" customHeight="1">
      <c r="A112" s="7">
        <v>152</v>
      </c>
      <c r="B112" s="7" t="s">
        <v>1330</v>
      </c>
      <c r="C112" s="4" t="s">
        <v>1212</v>
      </c>
      <c r="D112" s="4" t="s">
        <v>1322</v>
      </c>
      <c r="E112" s="4" t="s">
        <v>1244</v>
      </c>
      <c r="F112" s="5"/>
    </row>
    <row r="113" spans="1:6" ht="21.6" customHeight="1">
      <c r="A113" s="7">
        <v>153</v>
      </c>
      <c r="B113" s="7" t="s">
        <v>1330</v>
      </c>
      <c r="C113" s="4" t="s">
        <v>1324</v>
      </c>
      <c r="D113" s="4" t="s">
        <v>1323</v>
      </c>
      <c r="E113" s="4" t="s">
        <v>1325</v>
      </c>
      <c r="F113" s="5"/>
    </row>
    <row r="114" spans="1:6" ht="21.6" customHeight="1">
      <c r="A114" s="7">
        <v>154</v>
      </c>
      <c r="B114" s="7" t="s">
        <v>1330</v>
      </c>
      <c r="C114" s="4" t="s">
        <v>1213</v>
      </c>
      <c r="D114" s="4" t="s">
        <v>1181</v>
      </c>
      <c r="E114" s="4" t="s">
        <v>1245</v>
      </c>
      <c r="F114" s="5"/>
    </row>
    <row r="115" spans="1:6" ht="21.6" customHeight="1">
      <c r="A115" s="7">
        <v>155</v>
      </c>
      <c r="B115" s="7" t="s">
        <v>1330</v>
      </c>
      <c r="C115" s="4" t="s">
        <v>1214</v>
      </c>
      <c r="D115" s="4" t="s">
        <v>1182</v>
      </c>
      <c r="E115" s="4" t="s">
        <v>1246</v>
      </c>
      <c r="F115" s="5"/>
    </row>
    <row r="116" spans="1:6" ht="21.6" customHeight="1">
      <c r="A116" s="7">
        <v>156</v>
      </c>
      <c r="B116" s="7" t="s">
        <v>1330</v>
      </c>
      <c r="C116" s="4" t="s">
        <v>1215</v>
      </c>
      <c r="D116" s="4" t="s">
        <v>1183</v>
      </c>
      <c r="E116" s="4" t="s">
        <v>1247</v>
      </c>
      <c r="F116" s="5"/>
    </row>
    <row r="117" spans="1:6" ht="21.6" customHeight="1">
      <c r="A117" s="7">
        <v>157</v>
      </c>
      <c r="B117" s="7" t="s">
        <v>1330</v>
      </c>
      <c r="C117" s="4" t="s">
        <v>1216</v>
      </c>
      <c r="D117" s="4" t="s">
        <v>1184</v>
      </c>
      <c r="E117" s="4" t="s">
        <v>1248</v>
      </c>
      <c r="F117" s="5"/>
    </row>
    <row r="118" spans="1:6" ht="21.6" customHeight="1">
      <c r="A118" s="7">
        <v>158</v>
      </c>
      <c r="B118" s="7" t="s">
        <v>1330</v>
      </c>
      <c r="C118" s="4" t="s">
        <v>1217</v>
      </c>
      <c r="D118" s="4" t="s">
        <v>1185</v>
      </c>
      <c r="E118" s="4" t="s">
        <v>1249</v>
      </c>
      <c r="F118" s="5"/>
    </row>
    <row r="119" spans="1:6" ht="21.6" customHeight="1">
      <c r="A119" s="7">
        <v>159</v>
      </c>
      <c r="B119" s="7" t="s">
        <v>1330</v>
      </c>
      <c r="C119" s="4" t="s">
        <v>1218</v>
      </c>
      <c r="D119" s="4" t="s">
        <v>1186</v>
      </c>
      <c r="E119" s="4" t="s">
        <v>1250</v>
      </c>
      <c r="F119" s="5"/>
    </row>
    <row r="120" spans="1:6" ht="21.6" customHeight="1">
      <c r="A120" s="7">
        <v>160</v>
      </c>
      <c r="B120" s="7" t="s">
        <v>1330</v>
      </c>
      <c r="C120" s="4" t="s">
        <v>1219</v>
      </c>
      <c r="D120" s="4" t="s">
        <v>1187</v>
      </c>
      <c r="E120" s="4" t="s">
        <v>1251</v>
      </c>
      <c r="F120" s="5"/>
    </row>
    <row r="121" spans="1:6" ht="21.6" customHeight="1">
      <c r="A121" s="7">
        <v>161</v>
      </c>
      <c r="B121" s="7" t="s">
        <v>1330</v>
      </c>
      <c r="C121" s="4" t="s">
        <v>1220</v>
      </c>
      <c r="D121" s="4" t="s">
        <v>1188</v>
      </c>
      <c r="E121" s="4" t="s">
        <v>1252</v>
      </c>
      <c r="F121" s="5"/>
    </row>
    <row r="122" spans="1:6" ht="21.6" customHeight="1">
      <c r="A122" s="7">
        <v>162</v>
      </c>
      <c r="B122" s="7" t="s">
        <v>1330</v>
      </c>
      <c r="C122" s="4" t="s">
        <v>1221</v>
      </c>
      <c r="D122" s="4" t="s">
        <v>1189</v>
      </c>
      <c r="E122" s="4" t="s">
        <v>1253</v>
      </c>
      <c r="F122" s="5"/>
    </row>
    <row r="123" spans="1:6" ht="21.6" customHeight="1">
      <c r="A123" s="7">
        <v>162</v>
      </c>
      <c r="B123" s="7" t="s">
        <v>1330</v>
      </c>
      <c r="C123" s="4" t="s">
        <v>1222</v>
      </c>
      <c r="D123" s="4" t="s">
        <v>1190</v>
      </c>
      <c r="E123" s="4" t="s">
        <v>1254</v>
      </c>
      <c r="F123" s="5"/>
    </row>
    <row r="124" spans="1:6" ht="21.6" customHeight="1">
      <c r="A124" s="7">
        <v>162</v>
      </c>
      <c r="B124" s="7" t="s">
        <v>1330</v>
      </c>
      <c r="C124" s="4" t="s">
        <v>1326</v>
      </c>
      <c r="D124" s="4" t="s">
        <v>1327</v>
      </c>
      <c r="E124" s="4" t="s">
        <v>1328</v>
      </c>
      <c r="F124" s="5"/>
    </row>
    <row r="125" spans="1:6" ht="21.6" customHeight="1">
      <c r="A125" s="7">
        <v>162</v>
      </c>
      <c r="B125" s="7" t="s">
        <v>1330</v>
      </c>
      <c r="C125" s="4" t="s">
        <v>1223</v>
      </c>
      <c r="D125" s="4" t="s">
        <v>1191</v>
      </c>
      <c r="E125" s="4" t="s">
        <v>1255</v>
      </c>
      <c r="F125" s="5"/>
    </row>
    <row r="126" spans="1:6" ht="21.6" customHeight="1">
      <c r="A126" s="7">
        <v>165</v>
      </c>
      <c r="B126" s="7" t="s">
        <v>1330</v>
      </c>
      <c r="C126" s="4" t="s">
        <v>1224</v>
      </c>
      <c r="D126" s="4" t="s">
        <v>1192</v>
      </c>
      <c r="E126" s="4" t="s">
        <v>1256</v>
      </c>
      <c r="F126" s="5"/>
    </row>
    <row r="127" spans="1:6" ht="21.6" customHeight="1">
      <c r="A127" s="7">
        <v>166</v>
      </c>
      <c r="B127" s="7" t="s">
        <v>1330</v>
      </c>
      <c r="C127" s="4" t="s">
        <v>1225</v>
      </c>
      <c r="D127" s="4" t="s">
        <v>1193</v>
      </c>
      <c r="E127" s="4" t="s">
        <v>1257</v>
      </c>
      <c r="F127" s="5"/>
    </row>
    <row r="128" spans="1:6" ht="21.6" customHeight="1">
      <c r="A128" s="7">
        <v>167</v>
      </c>
      <c r="B128" s="7" t="s">
        <v>1330</v>
      </c>
      <c r="C128" s="4" t="s">
        <v>1226</v>
      </c>
      <c r="D128" s="4" t="s">
        <v>1194</v>
      </c>
      <c r="E128" s="4" t="s">
        <v>1258</v>
      </c>
      <c r="F128" s="5"/>
    </row>
    <row r="129" spans="1:6" ht="21.6" customHeight="1">
      <c r="A129" s="7">
        <v>168</v>
      </c>
      <c r="B129" s="7" t="s">
        <v>1330</v>
      </c>
      <c r="C129" s="4" t="s">
        <v>1227</v>
      </c>
      <c r="D129" s="4" t="s">
        <v>1195</v>
      </c>
      <c r="E129" s="4" t="s">
        <v>1259</v>
      </c>
      <c r="F129" s="5"/>
    </row>
    <row r="130" spans="1:6" ht="21.6" customHeight="1">
      <c r="A130" s="7">
        <v>169</v>
      </c>
      <c r="B130" s="7" t="s">
        <v>1330</v>
      </c>
      <c r="C130" s="4" t="s">
        <v>1228</v>
      </c>
      <c r="D130" s="4" t="s">
        <v>1196</v>
      </c>
      <c r="E130" s="4" t="s">
        <v>1260</v>
      </c>
      <c r="F130" s="5"/>
    </row>
    <row r="131" spans="1:6" ht="21.6" customHeight="1">
      <c r="A131" s="7">
        <v>170</v>
      </c>
      <c r="B131" s="7" t="s">
        <v>1330</v>
      </c>
      <c r="C131" s="4" t="s">
        <v>1229</v>
      </c>
      <c r="D131" s="4" t="s">
        <v>1197</v>
      </c>
      <c r="E131" s="4" t="s">
        <v>1261</v>
      </c>
      <c r="F131" s="5"/>
    </row>
    <row r="132" spans="1:6" ht="21.6" customHeight="1">
      <c r="A132" s="7">
        <v>171</v>
      </c>
      <c r="B132" s="7" t="s">
        <v>1330</v>
      </c>
      <c r="C132" s="4" t="s">
        <v>1230</v>
      </c>
      <c r="D132" s="4" t="s">
        <v>1198</v>
      </c>
      <c r="E132" s="4" t="s">
        <v>1262</v>
      </c>
      <c r="F132" s="5"/>
    </row>
    <row r="133" spans="1:6" ht="21.6" customHeight="1">
      <c r="A133" s="7">
        <v>172</v>
      </c>
      <c r="B133" s="7" t="s">
        <v>1330</v>
      </c>
      <c r="C133" s="4" t="s">
        <v>1231</v>
      </c>
      <c r="D133" s="4" t="s">
        <v>1199</v>
      </c>
      <c r="E133" s="4" t="s">
        <v>1263</v>
      </c>
      <c r="F133" s="5"/>
    </row>
    <row r="134" spans="1:6" ht="21.6" customHeight="1">
      <c r="A134" s="7">
        <v>173</v>
      </c>
      <c r="B134" s="7" t="s">
        <v>1330</v>
      </c>
      <c r="C134" s="4" t="s">
        <v>1232</v>
      </c>
      <c r="D134" s="4" t="s">
        <v>1200</v>
      </c>
      <c r="E134" s="4" t="s">
        <v>1264</v>
      </c>
      <c r="F134" s="5"/>
    </row>
    <row r="135" spans="1:6" ht="21.6" customHeight="1">
      <c r="A135" s="7">
        <v>174</v>
      </c>
      <c r="B135" s="7" t="s">
        <v>1330</v>
      </c>
      <c r="C135" s="4" t="s">
        <v>1233</v>
      </c>
      <c r="D135" s="4" t="s">
        <v>1201</v>
      </c>
      <c r="E135" s="4" t="s">
        <v>1265</v>
      </c>
      <c r="F135" s="5"/>
    </row>
    <row r="136" spans="1:6" ht="21.6" customHeight="1">
      <c r="A136" s="7">
        <v>175</v>
      </c>
      <c r="B136" s="7" t="s">
        <v>1330</v>
      </c>
      <c r="C136" s="4" t="s">
        <v>1234</v>
      </c>
      <c r="D136" s="4" t="s">
        <v>1202</v>
      </c>
      <c r="E136" s="4" t="s">
        <v>1266</v>
      </c>
      <c r="F136" s="5"/>
    </row>
    <row r="137" spans="1:6" ht="21.6" customHeight="1">
      <c r="A137" s="7">
        <v>176</v>
      </c>
      <c r="B137" s="7" t="s">
        <v>1330</v>
      </c>
      <c r="C137" s="4" t="s">
        <v>1235</v>
      </c>
      <c r="D137" s="4" t="s">
        <v>1203</v>
      </c>
      <c r="E137" s="4" t="s">
        <v>1267</v>
      </c>
      <c r="F137" s="5"/>
    </row>
    <row r="138" spans="1:6" ht="21.6" customHeight="1">
      <c r="A138" s="7">
        <v>177</v>
      </c>
      <c r="B138" s="7" t="s">
        <v>1330</v>
      </c>
      <c r="C138" s="4" t="s">
        <v>1236</v>
      </c>
      <c r="D138" s="4" t="s">
        <v>1204</v>
      </c>
      <c r="E138" s="4" t="s">
        <v>1268</v>
      </c>
      <c r="F138" s="5"/>
    </row>
    <row r="139" spans="1:6" ht="21.6" customHeight="1">
      <c r="A139" s="7">
        <v>178</v>
      </c>
      <c r="B139" s="7" t="s">
        <v>1330</v>
      </c>
      <c r="C139" s="4" t="s">
        <v>1237</v>
      </c>
      <c r="D139" s="4" t="s">
        <v>1205</v>
      </c>
      <c r="E139" s="4" t="s">
        <v>1269</v>
      </c>
      <c r="F139" s="5"/>
    </row>
    <row r="140" spans="1:6" ht="21.6" customHeight="1">
      <c r="A140" s="7">
        <v>179</v>
      </c>
      <c r="B140" s="7" t="s">
        <v>1330</v>
      </c>
      <c r="C140" s="4" t="s">
        <v>1238</v>
      </c>
      <c r="D140" s="4" t="s">
        <v>1206</v>
      </c>
      <c r="E140" s="4" t="s">
        <v>1270</v>
      </c>
      <c r="F140" s="5"/>
    </row>
    <row r="141" spans="1:6" ht="21.6" customHeight="1">
      <c r="A141" s="7">
        <v>180</v>
      </c>
      <c r="B141" s="7" t="s">
        <v>1330</v>
      </c>
      <c r="C141" s="4" t="s">
        <v>1239</v>
      </c>
      <c r="D141" s="4" t="s">
        <v>1207</v>
      </c>
      <c r="E141" s="4" t="s">
        <v>1271</v>
      </c>
      <c r="F141" s="5"/>
    </row>
    <row r="142" spans="1:6" ht="21.6" customHeight="1">
      <c r="A142" s="7">
        <v>181</v>
      </c>
      <c r="B142" s="7" t="s">
        <v>1330</v>
      </c>
      <c r="C142" s="4" t="s">
        <v>1240</v>
      </c>
      <c r="D142" s="4" t="s">
        <v>1208</v>
      </c>
      <c r="E142" s="4" t="s">
        <v>1272</v>
      </c>
      <c r="F142" s="5"/>
    </row>
    <row r="143" spans="1:6" ht="21.6" customHeight="1">
      <c r="A143" s="7">
        <v>183</v>
      </c>
      <c r="B143" s="7" t="s">
        <v>1330</v>
      </c>
      <c r="C143" s="4" t="s">
        <v>1241</v>
      </c>
      <c r="D143" s="4" t="s">
        <v>1209</v>
      </c>
      <c r="E143" s="4" t="s">
        <v>1273</v>
      </c>
      <c r="F143" s="5"/>
    </row>
    <row r="144" spans="1:6" ht="21.6" customHeight="1">
      <c r="A144" s="7">
        <v>184</v>
      </c>
      <c r="B144" s="7"/>
      <c r="C144" s="4"/>
      <c r="D144" s="4"/>
      <c r="E144" s="4"/>
      <c r="F144" s="5"/>
    </row>
    <row r="145" spans="1:6" ht="21.6" customHeight="1">
      <c r="A145" s="7">
        <v>185</v>
      </c>
      <c r="B145" s="7"/>
      <c r="C145" s="4"/>
      <c r="D145" s="4"/>
      <c r="E145" s="4"/>
      <c r="F145" s="5"/>
    </row>
    <row r="146" spans="1:6" ht="21.6" customHeight="1">
      <c r="A146" s="7">
        <v>186</v>
      </c>
      <c r="B146" s="7"/>
      <c r="C146" s="4"/>
      <c r="D146" s="4"/>
      <c r="E146" s="4"/>
      <c r="F146" s="5"/>
    </row>
    <row r="147" spans="1:6" ht="21.6" customHeight="1">
      <c r="A147" s="7">
        <v>187</v>
      </c>
      <c r="B147" s="7"/>
      <c r="C147" s="4"/>
      <c r="D147" s="4"/>
      <c r="E147" s="4"/>
      <c r="F147" s="5"/>
    </row>
    <row r="148" spans="1:6" ht="21.6" customHeight="1">
      <c r="A148" s="7">
        <v>188</v>
      </c>
      <c r="B148" s="7"/>
      <c r="C148" s="4"/>
      <c r="D148" s="4"/>
      <c r="E148" s="4"/>
      <c r="F148" s="5"/>
    </row>
    <row r="149" spans="1:6" ht="21.6" customHeight="1">
      <c r="A149" s="7">
        <v>189</v>
      </c>
      <c r="B149" s="7"/>
      <c r="C149" s="4"/>
      <c r="D149" s="4"/>
      <c r="E149" s="4"/>
      <c r="F149" s="5"/>
    </row>
    <row r="150" spans="1:6" ht="21.6" customHeight="1">
      <c r="A150" s="7">
        <v>190</v>
      </c>
      <c r="B150" s="7"/>
      <c r="C150" s="4"/>
      <c r="D150" s="4"/>
      <c r="E150" s="4"/>
      <c r="F150" s="5"/>
    </row>
    <row r="151" spans="1:6" ht="21.6" customHeight="1">
      <c r="A151" s="7">
        <v>191</v>
      </c>
      <c r="B151" s="7"/>
      <c r="C151" s="4"/>
      <c r="D151" s="4"/>
      <c r="E151" s="4"/>
      <c r="F151" s="5"/>
    </row>
    <row r="152" spans="1:6" ht="21.6" customHeight="1">
      <c r="A152" s="7">
        <v>192</v>
      </c>
      <c r="B152" s="7"/>
      <c r="C152" s="4"/>
      <c r="D152" s="4"/>
      <c r="E152" s="4"/>
      <c r="F152" s="5"/>
    </row>
    <row r="153" spans="1:6" ht="21.6" customHeight="1">
      <c r="A153" s="7">
        <v>193</v>
      </c>
      <c r="B153" s="7"/>
      <c r="C153" s="4"/>
      <c r="D153" s="4"/>
      <c r="E153" s="4"/>
      <c r="F153" s="5"/>
    </row>
    <row r="154" spans="1:6" ht="21.6" customHeight="1">
      <c r="A154" s="7">
        <v>194</v>
      </c>
      <c r="B154" s="7"/>
      <c r="C154" s="4"/>
      <c r="D154" s="4"/>
      <c r="E154" s="4"/>
      <c r="F154" s="5"/>
    </row>
    <row r="155" spans="1:6" ht="21.6" customHeight="1">
      <c r="A155" s="7">
        <v>195</v>
      </c>
      <c r="B155" s="7"/>
      <c r="C155" s="4"/>
      <c r="D155" s="4"/>
      <c r="E155" s="4"/>
      <c r="F155" s="5"/>
    </row>
    <row r="156" spans="1:6" ht="21.6" customHeight="1">
      <c r="A156" s="7">
        <v>196</v>
      </c>
      <c r="B156" s="7"/>
      <c r="C156" s="4"/>
      <c r="D156" s="4"/>
      <c r="E156" s="4"/>
      <c r="F156" s="5"/>
    </row>
    <row r="157" spans="1:6" ht="21.6" customHeight="1">
      <c r="A157" s="7">
        <v>197</v>
      </c>
      <c r="B157" s="7"/>
      <c r="C157" s="4"/>
      <c r="D157" s="4"/>
      <c r="E157" s="4"/>
      <c r="F157" s="5"/>
    </row>
    <row r="158" spans="1:6" ht="21.6" customHeight="1">
      <c r="A158" s="7">
        <v>198</v>
      </c>
      <c r="B158" s="7"/>
      <c r="C158" s="4"/>
      <c r="D158" s="4"/>
      <c r="E158" s="4"/>
      <c r="F158" s="5"/>
    </row>
    <row r="159" spans="1:6" ht="21.6" customHeight="1">
      <c r="A159" s="7">
        <v>199</v>
      </c>
      <c r="B159" s="7"/>
      <c r="C159" s="4"/>
      <c r="D159" s="4"/>
      <c r="E159" s="4"/>
      <c r="F159" s="5"/>
    </row>
    <row r="160" spans="1:6" ht="21.6" customHeight="1">
      <c r="A160" s="7">
        <v>200</v>
      </c>
      <c r="B160" s="7"/>
      <c r="C160" s="4"/>
      <c r="D160" s="4"/>
      <c r="E160" s="4"/>
      <c r="F160" s="5"/>
    </row>
    <row r="161" spans="1:6" ht="21.6" customHeight="1">
      <c r="A161" s="7">
        <v>201</v>
      </c>
      <c r="B161" s="7" t="s">
        <v>1331</v>
      </c>
      <c r="C161" s="4"/>
      <c r="D161" s="4"/>
      <c r="E161" s="4" t="s">
        <v>1332</v>
      </c>
      <c r="F161" s="5"/>
    </row>
    <row r="162" spans="1:6" ht="21.6" customHeight="1">
      <c r="A162" s="7">
        <v>202</v>
      </c>
      <c r="B162" s="7" t="s">
        <v>1331</v>
      </c>
      <c r="C162" s="4"/>
      <c r="D162" s="4"/>
      <c r="E162" s="4" t="s">
        <v>1333</v>
      </c>
      <c r="F162" s="5"/>
    </row>
    <row r="163" spans="1:6" ht="21.6" customHeight="1">
      <c r="A163" s="7">
        <v>203</v>
      </c>
      <c r="B163" s="7" t="s">
        <v>1331</v>
      </c>
      <c r="C163" s="4"/>
      <c r="D163" s="4"/>
      <c r="E163" s="4" t="s">
        <v>1334</v>
      </c>
      <c r="F163" s="5"/>
    </row>
    <row r="164" spans="1:6" ht="21.6" customHeight="1">
      <c r="A164" s="7">
        <v>204</v>
      </c>
      <c r="B164" s="7" t="s">
        <v>1331</v>
      </c>
      <c r="C164" s="4"/>
      <c r="D164" s="4"/>
      <c r="E164" s="4"/>
      <c r="F164" s="5"/>
    </row>
    <row r="165" spans="1:6" ht="21.6" customHeight="1">
      <c r="A165" s="7">
        <v>205</v>
      </c>
      <c r="B165" s="7" t="s">
        <v>1331</v>
      </c>
      <c r="C165" s="4"/>
      <c r="D165" s="4"/>
      <c r="E165" s="4"/>
      <c r="F165" s="5"/>
    </row>
    <row r="166" spans="1:6" ht="21.6" customHeight="1">
      <c r="A166" s="7">
        <v>206</v>
      </c>
      <c r="B166" s="7" t="s">
        <v>1331</v>
      </c>
      <c r="C166" s="4"/>
      <c r="D166" s="4"/>
      <c r="E166" s="4"/>
      <c r="F166" s="5"/>
    </row>
    <row r="167" spans="1:6" ht="21.6" customHeight="1">
      <c r="A167" s="7">
        <v>207</v>
      </c>
      <c r="B167" s="7" t="s">
        <v>1331</v>
      </c>
      <c r="C167" s="4"/>
      <c r="D167" s="4"/>
      <c r="E167" s="4"/>
      <c r="F167" s="5"/>
    </row>
    <row r="168" spans="1:6" ht="21.6" customHeight="1">
      <c r="A168" s="7">
        <v>208</v>
      </c>
      <c r="B168" s="7" t="s">
        <v>1331</v>
      </c>
      <c r="C168" s="4"/>
      <c r="D168" s="4"/>
      <c r="E168" s="4"/>
      <c r="F168" s="5"/>
    </row>
    <row r="169" spans="1:6" ht="21.6" customHeight="1">
      <c r="A169" s="7">
        <v>209</v>
      </c>
      <c r="B169" s="7" t="s">
        <v>1331</v>
      </c>
      <c r="C169" s="4"/>
      <c r="D169" s="4"/>
      <c r="E169" s="4"/>
      <c r="F169" s="5"/>
    </row>
    <row r="170" spans="1:6" ht="21.6" customHeight="1">
      <c r="A170" s="7">
        <v>210</v>
      </c>
      <c r="B170" s="7" t="s">
        <v>1331</v>
      </c>
      <c r="C170" s="4"/>
      <c r="D170" s="4"/>
      <c r="E170" s="4"/>
      <c r="F170" s="5"/>
    </row>
    <row r="171" spans="1:6" ht="21.6" customHeight="1">
      <c r="A171" s="7">
        <v>211</v>
      </c>
      <c r="B171" s="7" t="s">
        <v>1331</v>
      </c>
      <c r="C171" s="4"/>
      <c r="D171" s="4"/>
      <c r="E171" s="4"/>
      <c r="F171" s="5"/>
    </row>
    <row r="172" spans="1:6" ht="21.6" customHeight="1">
      <c r="A172" s="7">
        <v>212</v>
      </c>
      <c r="B172" s="7" t="s">
        <v>1331</v>
      </c>
      <c r="C172" s="4"/>
      <c r="D172" s="4"/>
      <c r="E172" s="4"/>
      <c r="F172" s="5"/>
    </row>
    <row r="173" spans="1:6" ht="21.6" customHeight="1">
      <c r="A173" s="7">
        <v>213</v>
      </c>
      <c r="B173" s="7"/>
      <c r="C173" s="4"/>
      <c r="D173" s="4"/>
      <c r="E173" s="4"/>
      <c r="F173" s="5"/>
    </row>
    <row r="174" spans="1:6" ht="21.6" customHeight="1">
      <c r="A174" s="7">
        <v>214</v>
      </c>
      <c r="B174" s="7"/>
      <c r="C174" s="4"/>
      <c r="D174" s="4"/>
      <c r="E174" s="4"/>
      <c r="F174" s="5"/>
    </row>
    <row r="175" spans="1:6" ht="21.6" customHeight="1">
      <c r="A175" s="7">
        <v>215</v>
      </c>
      <c r="B175" s="7"/>
      <c r="C175" s="4"/>
      <c r="D175" s="4"/>
      <c r="E175" s="4"/>
      <c r="F175" s="5"/>
    </row>
    <row r="176" spans="1:6" ht="21.6" customHeight="1">
      <c r="A176" s="7">
        <v>216</v>
      </c>
      <c r="B176" s="7"/>
      <c r="C176" s="4"/>
      <c r="D176" s="4"/>
      <c r="E176" s="4"/>
      <c r="F176" s="5"/>
    </row>
    <row r="177" spans="1:6" ht="21.6" customHeight="1">
      <c r="A177" s="7">
        <v>217</v>
      </c>
      <c r="B177" s="7"/>
      <c r="C177" s="4"/>
      <c r="D177" s="4"/>
      <c r="E177" s="4"/>
      <c r="F177" s="5"/>
    </row>
    <row r="178" spans="1:6" ht="21.6" customHeight="1">
      <c r="A178" s="7">
        <v>218</v>
      </c>
      <c r="B178" s="7"/>
      <c r="C178" s="4"/>
      <c r="D178" s="4"/>
      <c r="E178" s="4"/>
      <c r="F178" s="5"/>
    </row>
    <row r="179" spans="1:6" ht="21.6" customHeight="1">
      <c r="A179" s="7">
        <v>219</v>
      </c>
      <c r="B179" s="7"/>
      <c r="C179" s="4"/>
      <c r="D179" s="4"/>
      <c r="E179" s="4"/>
      <c r="F179" s="5"/>
    </row>
    <row r="180" spans="1:6" ht="21.6" customHeight="1">
      <c r="A180" s="7">
        <v>220</v>
      </c>
      <c r="B180" s="7"/>
      <c r="C180" s="4"/>
      <c r="D180" s="4"/>
      <c r="E180" s="4"/>
      <c r="F180" s="5"/>
    </row>
    <row r="181" spans="1:6" ht="21.6" customHeight="1">
      <c r="A181" s="7">
        <v>221</v>
      </c>
      <c r="B181" s="7"/>
      <c r="C181" s="4"/>
      <c r="D181" s="4"/>
      <c r="E181" s="4"/>
      <c r="F181" s="5"/>
    </row>
    <row r="182" spans="1:6" ht="21.6" customHeight="1">
      <c r="A182" s="7">
        <v>222</v>
      </c>
      <c r="B182" s="7"/>
      <c r="C182" s="4"/>
      <c r="D182" s="4"/>
      <c r="E182" s="4"/>
      <c r="F182" s="5"/>
    </row>
    <row r="183" spans="1:6" ht="21.6" customHeight="1">
      <c r="A183" s="7">
        <v>223</v>
      </c>
      <c r="B183" s="7"/>
      <c r="C183" s="4"/>
      <c r="D183" s="4"/>
      <c r="E183" s="4"/>
      <c r="F183" s="5"/>
    </row>
    <row r="184" spans="1:6" ht="21.6" customHeight="1">
      <c r="A184" s="7">
        <v>224</v>
      </c>
      <c r="B184" s="7"/>
      <c r="C184" s="4"/>
      <c r="D184" s="4"/>
      <c r="E184" s="4"/>
      <c r="F184" s="5"/>
    </row>
    <row r="185" spans="1:6" ht="21.6" customHeight="1">
      <c r="A185" s="7">
        <v>225</v>
      </c>
      <c r="B185" s="7"/>
      <c r="C185" s="4"/>
      <c r="D185" s="4"/>
      <c r="E185" s="4"/>
      <c r="F185" s="5"/>
    </row>
    <row r="186" spans="1:6" ht="21.6" customHeight="1">
      <c r="A186" s="7">
        <v>226</v>
      </c>
      <c r="B186" s="7"/>
      <c r="C186" s="4"/>
      <c r="D186" s="4"/>
      <c r="E186" s="4"/>
      <c r="F186" s="5"/>
    </row>
    <row r="187" spans="1:6" ht="21.6" customHeight="1">
      <c r="A187" s="7">
        <v>227</v>
      </c>
      <c r="B187" s="7"/>
      <c r="C187" s="4"/>
      <c r="D187" s="4"/>
      <c r="E187" s="4"/>
      <c r="F187" s="5"/>
    </row>
    <row r="188" spans="1:6" ht="21.6" customHeight="1">
      <c r="A188" s="7">
        <v>228</v>
      </c>
      <c r="B188" s="7"/>
      <c r="C188" s="4"/>
      <c r="D188" s="4"/>
      <c r="E188" s="4"/>
      <c r="F188" s="5"/>
    </row>
    <row r="189" spans="1:6" ht="21.6" customHeight="1">
      <c r="A189" s="7">
        <v>229</v>
      </c>
      <c r="B189" s="7"/>
      <c r="C189" s="4"/>
      <c r="D189" s="4"/>
      <c r="E189" s="4"/>
      <c r="F189" s="5"/>
    </row>
    <row r="190" spans="1:6" ht="21.6" customHeight="1">
      <c r="A190" s="7">
        <v>230</v>
      </c>
      <c r="B190" s="7"/>
      <c r="C190" s="4"/>
      <c r="D190" s="4"/>
      <c r="E190" s="4"/>
      <c r="F190" s="5"/>
    </row>
    <row r="191" spans="1:6" ht="21.6" customHeight="1">
      <c r="A191" s="7">
        <v>231</v>
      </c>
      <c r="B191" s="7"/>
      <c r="C191" s="4"/>
      <c r="D191" s="4"/>
      <c r="E191" s="4"/>
      <c r="F191" s="5"/>
    </row>
    <row r="192" spans="1:6" ht="21.6" customHeight="1">
      <c r="A192" s="7">
        <v>232</v>
      </c>
      <c r="B192" s="7"/>
      <c r="C192" s="4"/>
      <c r="D192" s="4"/>
      <c r="E192" s="4"/>
      <c r="F192" s="5"/>
    </row>
    <row r="193" spans="1:6" ht="21.6" customHeight="1">
      <c r="A193" s="7"/>
      <c r="B193" s="7"/>
      <c r="C193" s="4"/>
      <c r="D193" s="4"/>
      <c r="E193" s="4"/>
      <c r="F193" s="5"/>
    </row>
    <row r="194" spans="1:6" ht="21.6" customHeight="1">
      <c r="A194" s="7"/>
      <c r="B194" s="7"/>
      <c r="C194" s="4"/>
      <c r="D194" s="4"/>
      <c r="E194" s="4"/>
      <c r="F194" s="5"/>
    </row>
    <row r="195" spans="1:6" ht="21.6" customHeight="1">
      <c r="A195" s="7"/>
      <c r="B195" s="7"/>
      <c r="C195" s="4"/>
      <c r="D195" s="4"/>
      <c r="E195" s="4"/>
      <c r="F195" s="5"/>
    </row>
    <row r="196" spans="1:6" ht="21.6" customHeight="1">
      <c r="A196" s="7"/>
      <c r="B196" s="7"/>
      <c r="C196" s="4"/>
      <c r="D196" s="4"/>
      <c r="E196" s="4"/>
      <c r="F196" s="5"/>
    </row>
    <row r="197" spans="1:6" ht="21.6" customHeight="1">
      <c r="A197" s="7"/>
      <c r="B197" s="7"/>
      <c r="C197" s="4"/>
      <c r="D197" s="4"/>
      <c r="E197" s="4"/>
      <c r="F197" s="5"/>
    </row>
    <row r="198" spans="1:6" ht="21.6" customHeight="1">
      <c r="A198" s="7"/>
      <c r="B198" s="7"/>
      <c r="C198" s="4"/>
      <c r="D198" s="4"/>
      <c r="E198" s="4"/>
      <c r="F198" s="5"/>
    </row>
    <row r="199" spans="1:6" ht="21.6" customHeight="1">
      <c r="A199" s="7"/>
      <c r="B199" s="7"/>
      <c r="C199" s="4"/>
      <c r="D199" s="4"/>
      <c r="E199" s="4"/>
      <c r="F199" s="5"/>
    </row>
    <row r="200" spans="1:6" ht="21.6" customHeight="1">
      <c r="A200" s="7"/>
      <c r="B200" s="7"/>
      <c r="C200" s="4"/>
      <c r="D200" s="4"/>
      <c r="E200" s="4"/>
      <c r="F200" s="5"/>
    </row>
    <row r="201" spans="1:6" ht="21.6" customHeight="1">
      <c r="A201" s="7"/>
      <c r="B201" s="7"/>
      <c r="C201" s="4"/>
      <c r="D201" s="4"/>
      <c r="E201" s="4"/>
      <c r="F201" s="5"/>
    </row>
    <row r="202" spans="1:6" ht="21.6" customHeight="1">
      <c r="A202" s="7"/>
      <c r="B202" s="7"/>
      <c r="C202" s="4"/>
      <c r="D202" s="4"/>
      <c r="E202" s="4"/>
      <c r="F202" s="5"/>
    </row>
    <row r="203" spans="1:6" ht="21.6" customHeight="1">
      <c r="A203" s="7"/>
      <c r="B203" s="7"/>
      <c r="C203" s="4"/>
      <c r="D203" s="4"/>
      <c r="E203" s="4"/>
      <c r="F203" s="5"/>
    </row>
    <row r="204" spans="1:6" ht="21.6" customHeight="1">
      <c r="A204" s="7"/>
      <c r="B204" s="7"/>
      <c r="C204" s="4"/>
      <c r="D204" s="4"/>
      <c r="E204" s="4"/>
      <c r="F204" s="5"/>
    </row>
    <row r="205" spans="1:6" ht="21.6" customHeight="1">
      <c r="A205" s="7"/>
      <c r="B205" s="7"/>
      <c r="C205" s="4"/>
      <c r="D205" s="4"/>
      <c r="E205" s="4"/>
      <c r="F205" s="5"/>
    </row>
    <row r="206" spans="1:6" ht="21.6" customHeight="1">
      <c r="A206" s="7"/>
      <c r="B206" s="7"/>
      <c r="C206" s="4"/>
      <c r="D206" s="4"/>
      <c r="E206" s="4"/>
      <c r="F206" s="5"/>
    </row>
    <row r="207" spans="1:6" ht="21.6" customHeight="1">
      <c r="A207" s="7"/>
      <c r="B207" s="7"/>
      <c r="C207" s="4"/>
      <c r="D207" s="4"/>
      <c r="E207" s="4"/>
      <c r="F207" s="5"/>
    </row>
    <row r="208" spans="1:6" ht="21.6" customHeight="1">
      <c r="A208" s="7"/>
      <c r="B208" s="7"/>
      <c r="C208" s="4"/>
      <c r="D208" s="4"/>
      <c r="E208" s="4"/>
      <c r="F208" s="5"/>
    </row>
    <row r="209" spans="1:6" ht="21.6" customHeight="1">
      <c r="A209" s="7"/>
      <c r="B209" s="7"/>
      <c r="C209" s="4"/>
      <c r="D209" s="4"/>
      <c r="E209" s="4"/>
      <c r="F209" s="5"/>
    </row>
    <row r="210" spans="1:6" ht="21.6" customHeight="1">
      <c r="A210" s="7"/>
      <c r="B210" s="7"/>
      <c r="C210" s="4"/>
      <c r="D210" s="4"/>
      <c r="E210" s="4"/>
      <c r="F210" s="5"/>
    </row>
    <row r="211" spans="1:6" ht="21.6" customHeight="1">
      <c r="A211" s="7"/>
      <c r="B211" s="7"/>
      <c r="C211" s="4"/>
      <c r="D211" s="4"/>
      <c r="E211" s="4"/>
      <c r="F211" s="5"/>
    </row>
    <row r="212" spans="1:6" ht="21.6" customHeight="1">
      <c r="A212" s="7"/>
      <c r="B212" s="7"/>
      <c r="C212" s="4"/>
      <c r="D212" s="4"/>
      <c r="E212" s="4"/>
      <c r="F212" s="5"/>
    </row>
    <row r="213" spans="1:6" ht="21.6" customHeight="1">
      <c r="A213" s="7"/>
      <c r="B213" s="7"/>
      <c r="C213" s="4"/>
      <c r="D213" s="4"/>
      <c r="E213" s="4"/>
      <c r="F213" s="5"/>
    </row>
    <row r="214" spans="1:6" ht="21.6" customHeight="1">
      <c r="A214" s="7"/>
      <c r="B214" s="7"/>
      <c r="C214" s="4"/>
      <c r="D214" s="4"/>
      <c r="E214" s="4"/>
      <c r="F214" s="5"/>
    </row>
    <row r="215" spans="1:6" ht="21.6" customHeight="1">
      <c r="A215" s="7"/>
      <c r="B215" s="7"/>
      <c r="C215" s="4"/>
      <c r="D215" s="4"/>
      <c r="E215" s="4"/>
      <c r="F215" s="5"/>
    </row>
    <row r="216" spans="1:6" ht="21.6" customHeight="1">
      <c r="A216" s="7"/>
      <c r="B216" s="7"/>
      <c r="C216" s="4"/>
      <c r="D216" s="4"/>
      <c r="E216" s="4"/>
      <c r="F216" s="5"/>
    </row>
    <row r="217" spans="1:6" ht="21.6" customHeight="1">
      <c r="A217" s="7"/>
      <c r="B217" s="7"/>
      <c r="C217" s="4"/>
      <c r="D217" s="4"/>
      <c r="E217" s="4"/>
      <c r="F217" s="5"/>
    </row>
    <row r="218" spans="1:6" ht="21.6" customHeight="1">
      <c r="A218" s="7"/>
      <c r="B218" s="7"/>
      <c r="C218" s="4"/>
      <c r="D218" s="4"/>
      <c r="E218" s="4"/>
      <c r="F218" s="5"/>
    </row>
    <row r="219" spans="1:6" ht="21.6" customHeight="1">
      <c r="A219" s="7"/>
      <c r="B219" s="7"/>
      <c r="C219" s="4"/>
      <c r="D219" s="4"/>
      <c r="E219" s="4"/>
      <c r="F219" s="5"/>
    </row>
    <row r="220" spans="1:6" ht="21.6" customHeight="1">
      <c r="A220" s="7"/>
      <c r="B220" s="7"/>
      <c r="C220" s="4"/>
      <c r="D220" s="4"/>
      <c r="E220" s="4"/>
      <c r="F220" s="5"/>
    </row>
    <row r="221" spans="1:6" ht="21.6" customHeight="1">
      <c r="A221" s="7"/>
      <c r="B221" s="7"/>
      <c r="C221" s="4"/>
      <c r="D221" s="4"/>
      <c r="E221" s="4"/>
      <c r="F221" s="5"/>
    </row>
    <row r="222" spans="1:6" ht="21.6" customHeight="1">
      <c r="A222" s="7"/>
      <c r="B222" s="7"/>
      <c r="C222" s="4"/>
      <c r="D222" s="4"/>
      <c r="E222" s="4"/>
      <c r="F222" s="5"/>
    </row>
    <row r="223" spans="1:6" ht="21.6" customHeight="1">
      <c r="A223" s="7"/>
      <c r="B223" s="7"/>
      <c r="C223" s="4"/>
      <c r="D223" s="4"/>
      <c r="E223" s="4"/>
      <c r="F223" s="5"/>
    </row>
    <row r="224" spans="1:6" ht="21.6" customHeight="1">
      <c r="A224" s="7"/>
      <c r="B224" s="7"/>
      <c r="C224" s="4"/>
      <c r="D224" s="4"/>
      <c r="E224" s="4"/>
      <c r="F224" s="5"/>
    </row>
    <row r="225" spans="1:6" ht="21.6" customHeight="1">
      <c r="A225" s="7"/>
      <c r="B225" s="7"/>
      <c r="C225" s="4"/>
      <c r="D225" s="4"/>
      <c r="E225" s="4"/>
      <c r="F225" s="5"/>
    </row>
    <row r="226" spans="1:6" ht="21.6" customHeight="1">
      <c r="A226" s="7"/>
      <c r="B226" s="7"/>
      <c r="C226" s="4"/>
      <c r="D226" s="4"/>
      <c r="E226" s="4"/>
      <c r="F226" s="5"/>
    </row>
    <row r="227" spans="1:6" ht="21.6" customHeight="1">
      <c r="A227" s="7"/>
      <c r="B227" s="7"/>
      <c r="C227" s="4"/>
      <c r="D227" s="4"/>
      <c r="E227" s="4"/>
      <c r="F227" s="5"/>
    </row>
    <row r="228" spans="1:6" ht="21.6" customHeight="1">
      <c r="A228" s="7"/>
      <c r="B228" s="7"/>
      <c r="C228" s="4"/>
      <c r="D228" s="4"/>
      <c r="E228" s="4"/>
      <c r="F228" s="5"/>
    </row>
    <row r="229" spans="1:6" ht="21.6" customHeight="1">
      <c r="A229" s="7"/>
      <c r="B229" s="7"/>
      <c r="C229" s="4"/>
      <c r="D229" s="4"/>
      <c r="E229" s="4"/>
      <c r="F229" s="5"/>
    </row>
    <row r="230" spans="1:6" ht="21.6" customHeight="1">
      <c r="A230" s="7"/>
      <c r="B230" s="7"/>
      <c r="C230" s="4"/>
      <c r="D230" s="4"/>
      <c r="E230" s="4"/>
      <c r="F230" s="5"/>
    </row>
    <row r="231" spans="1:6" ht="21.6" customHeight="1">
      <c r="A231" s="7"/>
      <c r="B231" s="7"/>
      <c r="C231" s="4"/>
      <c r="D231" s="4"/>
      <c r="E231" s="4"/>
      <c r="F231" s="5"/>
    </row>
    <row r="232" spans="1:6" ht="21.6" customHeight="1">
      <c r="A232" s="7"/>
      <c r="B232" s="7"/>
      <c r="C232" s="4"/>
      <c r="D232" s="4"/>
      <c r="E232" s="4"/>
      <c r="F232" s="5"/>
    </row>
    <row r="233" spans="1:6" ht="21.6" customHeight="1">
      <c r="A233" s="7"/>
      <c r="B233" s="7"/>
      <c r="C233" s="4"/>
      <c r="D233" s="4"/>
      <c r="E233" s="4"/>
      <c r="F233" s="5"/>
    </row>
    <row r="234" spans="1:6" ht="21.6" customHeight="1">
      <c r="A234" s="7"/>
      <c r="B234" s="7"/>
      <c r="C234" s="4"/>
      <c r="D234" s="4"/>
      <c r="E234" s="4"/>
      <c r="F234" s="5"/>
    </row>
    <row r="235" spans="1:6" ht="21.6" customHeight="1">
      <c r="A235" s="7"/>
      <c r="B235" s="7"/>
      <c r="C235" s="4"/>
      <c r="D235" s="4"/>
      <c r="E235" s="4"/>
      <c r="F235" s="5"/>
    </row>
    <row r="236" spans="1:6" ht="21.6" customHeight="1">
      <c r="A236" s="7"/>
      <c r="B236" s="7"/>
      <c r="C236" s="4"/>
      <c r="D236" s="4"/>
      <c r="E236" s="4"/>
      <c r="F236" s="5"/>
    </row>
    <row r="237" spans="1:6" ht="21.6" customHeight="1">
      <c r="A237" s="7"/>
      <c r="B237" s="7"/>
      <c r="C237" s="4"/>
      <c r="D237" s="4"/>
      <c r="E237" s="4"/>
      <c r="F237" s="5"/>
    </row>
    <row r="238" spans="1:6" ht="21.6" customHeight="1">
      <c r="A238" s="7"/>
      <c r="B238" s="7"/>
      <c r="C238" s="4"/>
      <c r="D238" s="4"/>
      <c r="E238" s="4"/>
      <c r="F238" s="5"/>
    </row>
    <row r="239" spans="1:6" ht="21.6" customHeight="1">
      <c r="A239" s="7"/>
      <c r="B239" s="7"/>
      <c r="C239" s="4"/>
      <c r="D239" s="4"/>
      <c r="E239" s="4"/>
      <c r="F239" s="5"/>
    </row>
    <row r="240" spans="1:6" ht="21.6" customHeight="1">
      <c r="A240" s="7"/>
      <c r="B240" s="7"/>
      <c r="C240" s="4"/>
      <c r="D240" s="4"/>
      <c r="E240" s="4"/>
      <c r="F240" s="5"/>
    </row>
    <row r="241" spans="1:6" ht="21.6" customHeight="1">
      <c r="A241" s="7"/>
      <c r="B241" s="7"/>
      <c r="C241" s="4"/>
      <c r="D241" s="4"/>
      <c r="E241" s="4"/>
      <c r="F241" s="5"/>
    </row>
    <row r="242" spans="1:6" ht="21.6" customHeight="1">
      <c r="A242" s="7"/>
      <c r="B242" s="7"/>
      <c r="C242" s="4"/>
      <c r="D242" s="4"/>
      <c r="E242" s="4"/>
      <c r="F242" s="5"/>
    </row>
    <row r="243" spans="1:6" ht="21.6" customHeight="1">
      <c r="A243" s="7"/>
      <c r="B243" s="7"/>
      <c r="C243" s="4"/>
      <c r="D243" s="4"/>
      <c r="E243" s="4"/>
      <c r="F243" s="5"/>
    </row>
    <row r="244" spans="1:6" ht="21.6" customHeight="1">
      <c r="A244" s="7"/>
      <c r="B244" s="7"/>
      <c r="C244" s="4"/>
      <c r="D244" s="4"/>
      <c r="E244" s="4"/>
      <c r="F244" s="5"/>
    </row>
    <row r="245" spans="1:6" ht="21.6" customHeight="1">
      <c r="A245" s="7"/>
      <c r="B245" s="7"/>
      <c r="C245" s="4"/>
      <c r="D245" s="4"/>
      <c r="E245" s="4"/>
      <c r="F245" s="5"/>
    </row>
    <row r="246" spans="1:6" ht="21.6" customHeight="1">
      <c r="A246" s="7"/>
      <c r="B246" s="7"/>
      <c r="C246" s="4"/>
      <c r="D246" s="4"/>
      <c r="E246" s="4"/>
      <c r="F246" s="5"/>
    </row>
    <row r="247" spans="1:6" ht="21.6" customHeight="1">
      <c r="A247" s="7"/>
      <c r="B247" s="7"/>
      <c r="C247" s="4"/>
      <c r="D247" s="4"/>
      <c r="E247" s="4"/>
      <c r="F247" s="5"/>
    </row>
    <row r="248" spans="1:6" ht="21.6" customHeight="1">
      <c r="A248" s="7"/>
      <c r="B248" s="7"/>
      <c r="C248" s="4"/>
      <c r="D248" s="4"/>
      <c r="E248" s="4"/>
      <c r="F248" s="5"/>
    </row>
    <row r="249" spans="1:6" ht="21.6" customHeight="1">
      <c r="A249" s="7"/>
      <c r="B249" s="7"/>
      <c r="C249" s="4"/>
      <c r="D249" s="4"/>
      <c r="E249" s="4"/>
      <c r="F249" s="5"/>
    </row>
    <row r="250" spans="1:6" ht="21.6" customHeight="1">
      <c r="A250" s="7"/>
      <c r="B250" s="7"/>
      <c r="C250" s="4"/>
      <c r="D250" s="4"/>
      <c r="E250" s="4"/>
      <c r="F250" s="5"/>
    </row>
    <row r="251" spans="1:6" ht="21.6" customHeight="1">
      <c r="A251" s="7"/>
      <c r="B251" s="7"/>
      <c r="C251" s="4"/>
      <c r="D251" s="4"/>
      <c r="E251" s="4"/>
      <c r="F251" s="5"/>
    </row>
    <row r="252" spans="1:6" ht="21.6" customHeight="1">
      <c r="A252" s="7"/>
      <c r="B252" s="7"/>
      <c r="C252" s="4"/>
      <c r="D252" s="4"/>
      <c r="E252" s="4"/>
      <c r="F252" s="5"/>
    </row>
    <row r="253" spans="1:6" ht="21.6" customHeight="1">
      <c r="A253" s="7"/>
      <c r="B253" s="7"/>
      <c r="C253" s="4"/>
      <c r="D253" s="4"/>
      <c r="E253" s="4"/>
      <c r="F253" s="5"/>
    </row>
    <row r="254" spans="1:6" ht="21.6" customHeight="1">
      <c r="A254" s="7"/>
      <c r="B254" s="7"/>
      <c r="C254" s="4"/>
      <c r="D254" s="4"/>
      <c r="E254" s="4"/>
      <c r="F254" s="5"/>
    </row>
    <row r="255" spans="1:6" ht="21.6" customHeight="1">
      <c r="A255" s="7"/>
      <c r="B255" s="7"/>
      <c r="C255" s="4"/>
      <c r="D255" s="4"/>
      <c r="E255" s="4"/>
      <c r="F255" s="5"/>
    </row>
    <row r="256" spans="1:6" ht="21.6" customHeight="1">
      <c r="A256" s="7"/>
      <c r="B256" s="7"/>
      <c r="C256" s="4"/>
      <c r="D256" s="4"/>
      <c r="E256" s="4"/>
      <c r="F256" s="5"/>
    </row>
    <row r="257" spans="1:6" ht="21.6" customHeight="1">
      <c r="A257" s="7"/>
      <c r="B257" s="7"/>
      <c r="C257" s="4"/>
      <c r="D257" s="4"/>
      <c r="E257" s="4"/>
      <c r="F257" s="5"/>
    </row>
    <row r="258" spans="1:6" ht="21.6" customHeight="1">
      <c r="A258" s="7"/>
      <c r="B258" s="7"/>
      <c r="C258" s="4"/>
      <c r="D258" s="4"/>
      <c r="E258" s="4"/>
      <c r="F258" s="5"/>
    </row>
    <row r="259" spans="1:6" ht="21.6" customHeight="1">
      <c r="A259" s="7"/>
      <c r="B259" s="7"/>
      <c r="C259" s="4"/>
      <c r="D259" s="4"/>
      <c r="E259" s="4"/>
      <c r="F259" s="5"/>
    </row>
    <row r="260" spans="1:6" ht="21.6" customHeight="1">
      <c r="A260" s="7"/>
      <c r="B260" s="7"/>
      <c r="C260" s="4"/>
      <c r="D260" s="4"/>
      <c r="E260" s="4"/>
      <c r="F260" s="5"/>
    </row>
    <row r="261" spans="1:6" ht="21.6" customHeight="1">
      <c r="A261" s="7"/>
      <c r="B261" s="7"/>
      <c r="C261" s="4"/>
      <c r="D261" s="4"/>
      <c r="E261" s="4"/>
      <c r="F261" s="5"/>
    </row>
    <row r="262" spans="1:6" ht="21.6" customHeight="1">
      <c r="A262" s="7"/>
      <c r="B262" s="7"/>
      <c r="C262" s="4"/>
      <c r="D262" s="4"/>
      <c r="E262" s="4"/>
      <c r="F262" s="5"/>
    </row>
    <row r="263" spans="1:6" ht="21.6" customHeight="1">
      <c r="A263" s="7"/>
      <c r="B263" s="7"/>
      <c r="C263" s="4"/>
      <c r="D263" s="4"/>
      <c r="E263" s="4"/>
      <c r="F263" s="5"/>
    </row>
    <row r="264" spans="1:6" ht="21.6" customHeight="1">
      <c r="A264" s="7"/>
      <c r="B264" s="7"/>
      <c r="C264" s="4"/>
      <c r="D264" s="4"/>
      <c r="E264" s="4"/>
      <c r="F264" s="5"/>
    </row>
    <row r="265" spans="1:6" ht="21.6" customHeight="1">
      <c r="A265" s="7"/>
      <c r="B265" s="7"/>
      <c r="C265" s="4"/>
      <c r="D265" s="4"/>
      <c r="E265" s="4"/>
      <c r="F265" s="5"/>
    </row>
    <row r="266" spans="1:6" ht="21.6" customHeight="1">
      <c r="A266" s="7"/>
      <c r="B266" s="7"/>
      <c r="C266" s="4"/>
      <c r="D266" s="4"/>
      <c r="E266" s="4"/>
      <c r="F266" s="5"/>
    </row>
    <row r="267" spans="1:6" ht="21.6" customHeight="1">
      <c r="A267" s="7"/>
      <c r="B267" s="7"/>
      <c r="C267" s="4"/>
      <c r="D267" s="4"/>
      <c r="E267" s="4"/>
      <c r="F267" s="5"/>
    </row>
    <row r="268" spans="1:6" ht="21.6" customHeight="1">
      <c r="A268" s="7"/>
      <c r="B268" s="7"/>
      <c r="C268" s="4"/>
      <c r="D268" s="4"/>
      <c r="E268" s="4"/>
      <c r="F268" s="5"/>
    </row>
    <row r="269" spans="1:6" ht="21.6" customHeight="1">
      <c r="A269" s="7"/>
      <c r="B269" s="7"/>
      <c r="C269" s="4"/>
      <c r="D269" s="4"/>
      <c r="E269" s="4"/>
      <c r="F269" s="5"/>
    </row>
    <row r="270" spans="1:6" ht="21.6" customHeight="1">
      <c r="A270" s="7"/>
      <c r="B270" s="7"/>
      <c r="C270" s="4"/>
      <c r="D270" s="4"/>
      <c r="E270" s="4"/>
      <c r="F270" s="5"/>
    </row>
    <row r="271" spans="1:6" ht="21.6" customHeight="1">
      <c r="A271" s="7"/>
      <c r="B271" s="7"/>
      <c r="C271" s="4"/>
      <c r="D271" s="4"/>
      <c r="E271" s="4"/>
      <c r="F271" s="5"/>
    </row>
    <row r="272" spans="1:6" ht="21.6" customHeight="1">
      <c r="A272" s="7"/>
      <c r="B272" s="7"/>
      <c r="C272" s="4"/>
      <c r="D272" s="4"/>
      <c r="E272" s="4"/>
      <c r="F272" s="5"/>
    </row>
    <row r="273" spans="1:6" ht="21.6" customHeight="1">
      <c r="A273" s="7"/>
      <c r="B273" s="7"/>
      <c r="C273" s="4"/>
      <c r="D273" s="4"/>
      <c r="E273" s="4"/>
      <c r="F273" s="5"/>
    </row>
    <row r="274" spans="1:6" ht="21.6" customHeight="1">
      <c r="A274" s="7"/>
      <c r="B274" s="7"/>
      <c r="C274" s="4"/>
      <c r="D274" s="4"/>
      <c r="E274" s="4"/>
      <c r="F274" s="5"/>
    </row>
    <row r="275" spans="1:6" ht="21.6" customHeight="1">
      <c r="A275" s="7"/>
      <c r="B275" s="7"/>
      <c r="C275" s="4"/>
      <c r="D275" s="4"/>
      <c r="E275" s="4"/>
      <c r="F275" s="5"/>
    </row>
    <row r="276" spans="1:6" ht="21.6" customHeight="1">
      <c r="A276" s="7"/>
      <c r="B276" s="7"/>
      <c r="C276" s="4"/>
      <c r="D276" s="4"/>
      <c r="E276" s="4"/>
      <c r="F276" s="5"/>
    </row>
    <row r="277" spans="1:6" ht="21.6" customHeight="1">
      <c r="A277" s="7"/>
      <c r="B277" s="7"/>
      <c r="C277" s="4"/>
      <c r="D277" s="4"/>
      <c r="E277" s="4"/>
      <c r="F277" s="5"/>
    </row>
    <row r="278" spans="1:6" ht="21.6" customHeight="1">
      <c r="A278" s="7"/>
      <c r="B278" s="7"/>
      <c r="C278" s="4"/>
      <c r="D278" s="4"/>
      <c r="E278" s="4"/>
      <c r="F278" s="5"/>
    </row>
    <row r="279" spans="1:6" ht="21.6" customHeight="1">
      <c r="A279" s="7"/>
      <c r="B279" s="7"/>
      <c r="C279" s="4"/>
      <c r="D279" s="4"/>
      <c r="E279" s="4"/>
      <c r="F279" s="5"/>
    </row>
    <row r="280" spans="1:6" ht="21.6" customHeight="1">
      <c r="A280" s="7"/>
      <c r="B280" s="7"/>
      <c r="C280" s="4"/>
      <c r="D280" s="4"/>
      <c r="E280" s="4"/>
      <c r="F280" s="5"/>
    </row>
    <row r="281" spans="1:6" ht="21.6" customHeight="1">
      <c r="A281" s="7"/>
      <c r="B281" s="7"/>
      <c r="C281" s="4"/>
      <c r="D281" s="4"/>
      <c r="E281" s="4"/>
      <c r="F281" s="5"/>
    </row>
    <row r="282" spans="1:6" ht="21.6" customHeight="1">
      <c r="A282" s="7"/>
      <c r="B282" s="7"/>
      <c r="C282" s="4"/>
      <c r="D282" s="4"/>
      <c r="E282" s="4"/>
      <c r="F282" s="5"/>
    </row>
    <row r="283" spans="1:6" ht="21.6" customHeight="1">
      <c r="A283" s="7"/>
      <c r="B283" s="7"/>
      <c r="C283" s="4"/>
      <c r="D283" s="4"/>
      <c r="E283" s="4"/>
      <c r="F283" s="5"/>
    </row>
    <row r="284" spans="1:6" ht="21.6" customHeight="1">
      <c r="A284" s="7"/>
      <c r="B284" s="7"/>
      <c r="C284" s="4"/>
      <c r="D284" s="4"/>
      <c r="E284" s="4"/>
      <c r="F284" s="5"/>
    </row>
    <row r="285" spans="1:6" ht="21.6" customHeight="1">
      <c r="A285" s="7"/>
      <c r="B285" s="7"/>
      <c r="C285" s="4"/>
      <c r="D285" s="4"/>
      <c r="E285" s="4"/>
      <c r="F285" s="5"/>
    </row>
    <row r="286" spans="1:6" ht="21.6" customHeight="1">
      <c r="A286" s="7"/>
      <c r="B286" s="7"/>
      <c r="C286" s="4"/>
      <c r="D286" s="4"/>
      <c r="E286" s="4"/>
      <c r="F286" s="5"/>
    </row>
    <row r="287" spans="1:6" ht="21.6" customHeight="1">
      <c r="A287" s="7"/>
      <c r="B287" s="7"/>
      <c r="C287" s="4"/>
      <c r="D287" s="4"/>
      <c r="E287" s="4"/>
      <c r="F287" s="5"/>
    </row>
    <row r="288" spans="1:6" ht="21.6" customHeight="1">
      <c r="A288" s="7"/>
      <c r="B288" s="7"/>
      <c r="C288" s="4"/>
      <c r="D288" s="4"/>
      <c r="E288" s="4"/>
      <c r="F288" s="5"/>
    </row>
    <row r="289" spans="1:6" ht="21.6" customHeight="1">
      <c r="A289" s="7"/>
      <c r="B289" s="7"/>
      <c r="C289" s="4"/>
      <c r="D289" s="4"/>
      <c r="E289" s="4"/>
      <c r="F289" s="5"/>
    </row>
    <row r="290" spans="1:6" ht="21.6" customHeight="1">
      <c r="A290" s="7"/>
      <c r="B290" s="7"/>
      <c r="C290" s="4"/>
      <c r="D290" s="4"/>
      <c r="E290" s="4"/>
      <c r="F290" s="5"/>
    </row>
    <row r="291" spans="1:6" ht="21.6" customHeight="1">
      <c r="A291" s="7"/>
      <c r="B291" s="7"/>
      <c r="C291" s="4"/>
      <c r="D291" s="4"/>
      <c r="E291" s="4"/>
      <c r="F291" s="5"/>
    </row>
    <row r="292" spans="1:6" ht="21.6" customHeight="1">
      <c r="A292" s="7"/>
      <c r="B292" s="7"/>
      <c r="C292" s="4"/>
      <c r="D292" s="4"/>
      <c r="E292" s="4"/>
      <c r="F292" s="5"/>
    </row>
    <row r="293" spans="1:6" ht="21.6" customHeight="1">
      <c r="A293" s="7"/>
      <c r="B293" s="7"/>
      <c r="C293" s="4"/>
      <c r="D293" s="4"/>
      <c r="E293" s="4"/>
      <c r="F293" s="5"/>
    </row>
    <row r="294" spans="1:6" ht="21.6" customHeight="1">
      <c r="A294" s="7"/>
      <c r="B294" s="7"/>
      <c r="C294" s="4"/>
      <c r="D294" s="4"/>
      <c r="E294" s="4"/>
      <c r="F294" s="5"/>
    </row>
    <row r="295" spans="1:6" ht="21.6" customHeight="1">
      <c r="A295" s="7"/>
      <c r="B295" s="7"/>
      <c r="C295" s="4"/>
      <c r="D295" s="4"/>
      <c r="E295" s="4"/>
      <c r="F295" s="5"/>
    </row>
    <row r="296" spans="1:6" ht="21.6" customHeight="1">
      <c r="A296" s="7"/>
      <c r="B296" s="7"/>
      <c r="C296" s="4"/>
      <c r="D296" s="4"/>
      <c r="E296" s="4"/>
      <c r="F296" s="5"/>
    </row>
    <row r="297" spans="1:6" ht="21.6" customHeight="1">
      <c r="A297" s="7"/>
      <c r="B297" s="7"/>
      <c r="C297" s="4"/>
      <c r="D297" s="4"/>
      <c r="E297" s="4"/>
      <c r="F297" s="5"/>
    </row>
    <row r="298" spans="1:6" ht="21.6" customHeight="1">
      <c r="A298" s="7"/>
      <c r="B298" s="7"/>
      <c r="C298" s="4"/>
      <c r="D298" s="4"/>
      <c r="E298" s="4"/>
      <c r="F298" s="5"/>
    </row>
    <row r="299" spans="1:6" ht="21.6" customHeight="1">
      <c r="A299" s="7"/>
      <c r="B299" s="7"/>
      <c r="C299" s="4"/>
      <c r="D299" s="4"/>
      <c r="E299" s="4"/>
      <c r="F299" s="5"/>
    </row>
    <row r="300" spans="1:6" ht="21.6" customHeight="1">
      <c r="A300" s="7"/>
      <c r="B300" s="7"/>
      <c r="C300" s="4"/>
      <c r="D300" s="4"/>
      <c r="E300" s="4"/>
      <c r="F300" s="5"/>
    </row>
    <row r="301" spans="1:6" ht="21.6" customHeight="1">
      <c r="A301" s="7"/>
      <c r="B301" s="7"/>
      <c r="C301" s="4"/>
      <c r="D301" s="4"/>
      <c r="E301" s="4"/>
      <c r="F301" s="5"/>
    </row>
    <row r="302" spans="1:6" ht="21.6" customHeight="1">
      <c r="A302" s="7"/>
      <c r="B302" s="7"/>
      <c r="C302" s="4"/>
      <c r="D302" s="4"/>
      <c r="E302" s="4"/>
      <c r="F302" s="5"/>
    </row>
    <row r="303" spans="1:6" ht="21.6" customHeight="1">
      <c r="A303" s="7"/>
      <c r="B303" s="7"/>
      <c r="C303" s="4"/>
      <c r="D303" s="4"/>
      <c r="E303" s="4"/>
      <c r="F303" s="5"/>
    </row>
    <row r="304" spans="1:6" ht="21.6" customHeight="1">
      <c r="A304" s="7"/>
      <c r="B304" s="7"/>
      <c r="C304" s="4"/>
      <c r="D304" s="4"/>
      <c r="E304" s="4"/>
      <c r="F304" s="5"/>
    </row>
    <row r="305" spans="1:6" ht="21.6" customHeight="1">
      <c r="A305" s="7"/>
      <c r="B305" s="7"/>
      <c r="C305" s="4"/>
      <c r="D305" s="4"/>
      <c r="E305" s="4"/>
      <c r="F305" s="5"/>
    </row>
    <row r="306" spans="1:6" ht="21.6" customHeight="1">
      <c r="A306" s="7"/>
      <c r="B306" s="7"/>
      <c r="C306" s="4"/>
      <c r="D306" s="4"/>
      <c r="E306" s="4"/>
      <c r="F306" s="5"/>
    </row>
    <row r="307" spans="1:6" ht="21.6" customHeight="1">
      <c r="A307" s="7"/>
      <c r="B307" s="7"/>
      <c r="C307" s="4"/>
      <c r="D307" s="4"/>
      <c r="E307" s="4"/>
      <c r="F307" s="5"/>
    </row>
    <row r="308" spans="1:6" ht="21.6" customHeight="1">
      <c r="A308" s="7"/>
      <c r="B308" s="7"/>
      <c r="C308" s="4"/>
      <c r="D308" s="4"/>
      <c r="E308" s="4"/>
      <c r="F308" s="5"/>
    </row>
    <row r="309" spans="1:6" ht="21.6" customHeight="1">
      <c r="A309" s="7"/>
      <c r="B309" s="7"/>
      <c r="C309" s="4"/>
      <c r="D309" s="4"/>
      <c r="E309" s="4"/>
      <c r="F309" s="5"/>
    </row>
    <row r="310" spans="1:6" ht="21.6" customHeight="1">
      <c r="A310" s="7"/>
      <c r="B310" s="7"/>
      <c r="C310" s="4"/>
      <c r="D310" s="4"/>
      <c r="E310" s="4"/>
      <c r="F310" s="5"/>
    </row>
    <row r="311" spans="1:6" ht="21.6" customHeight="1">
      <c r="A311" s="7"/>
      <c r="B311" s="7"/>
      <c r="C311" s="4"/>
      <c r="D311" s="4"/>
      <c r="E311" s="4"/>
      <c r="F311" s="5"/>
    </row>
    <row r="312" spans="1:6" ht="21.6" customHeight="1">
      <c r="A312" s="7"/>
      <c r="B312" s="7"/>
      <c r="C312" s="4"/>
      <c r="D312" s="4"/>
      <c r="E312" s="4"/>
      <c r="F312" s="5"/>
    </row>
    <row r="313" spans="1:6" ht="21.6" customHeight="1">
      <c r="A313" s="7"/>
      <c r="B313" s="7"/>
      <c r="C313" s="4"/>
      <c r="D313" s="4"/>
      <c r="E313" s="4"/>
      <c r="F313" s="5"/>
    </row>
    <row r="314" spans="1:6" ht="21.6" customHeight="1">
      <c r="A314" s="7"/>
      <c r="B314" s="7"/>
      <c r="C314" s="4"/>
      <c r="D314" s="4"/>
      <c r="E314" s="4"/>
      <c r="F314" s="5"/>
    </row>
    <row r="315" spans="1:6" ht="21.6" customHeight="1">
      <c r="A315" s="7"/>
      <c r="B315" s="7"/>
      <c r="C315" s="4"/>
      <c r="D315" s="4"/>
      <c r="E315" s="4"/>
      <c r="F315" s="5"/>
    </row>
    <row r="316" spans="1:6" ht="21.6" customHeight="1">
      <c r="A316" s="7"/>
      <c r="B316" s="7"/>
      <c r="C316" s="4"/>
      <c r="D316" s="4"/>
      <c r="E316" s="4"/>
      <c r="F316" s="5"/>
    </row>
    <row r="317" spans="1:6" ht="21.6" customHeight="1">
      <c r="A317" s="7"/>
      <c r="B317" s="7"/>
      <c r="C317" s="4"/>
      <c r="D317" s="4"/>
      <c r="E317" s="4"/>
      <c r="F317" s="5"/>
    </row>
    <row r="318" spans="1:6" ht="21.6" customHeight="1">
      <c r="A318" s="7"/>
      <c r="B318" s="7"/>
      <c r="C318" s="4"/>
      <c r="D318" s="4"/>
      <c r="E318" s="4"/>
      <c r="F318" s="5"/>
    </row>
    <row r="319" spans="1:6" ht="21.6" customHeight="1">
      <c r="A319" s="7"/>
      <c r="B319" s="7"/>
      <c r="C319" s="4"/>
      <c r="D319" s="4"/>
      <c r="E319" s="4"/>
      <c r="F319" s="5"/>
    </row>
    <row r="320" spans="1:6" ht="21.6" customHeight="1">
      <c r="A320" s="7"/>
      <c r="B320" s="7"/>
      <c r="C320" s="4"/>
      <c r="D320" s="4"/>
      <c r="E320" s="4"/>
      <c r="F320" s="5"/>
    </row>
    <row r="321" spans="1:6" ht="21.6" customHeight="1">
      <c r="A321" s="7"/>
      <c r="B321" s="7"/>
      <c r="C321" s="4"/>
      <c r="D321" s="4"/>
      <c r="E321" s="4"/>
      <c r="F321" s="5"/>
    </row>
    <row r="322" spans="1:6" ht="21.6" customHeight="1">
      <c r="A322" s="7"/>
      <c r="B322" s="7"/>
      <c r="C322" s="4"/>
      <c r="D322" s="4"/>
      <c r="E322" s="4"/>
      <c r="F322" s="5"/>
    </row>
    <row r="323" spans="1:6" ht="21.6" customHeight="1">
      <c r="A323" s="7"/>
      <c r="B323" s="7"/>
      <c r="C323" s="4"/>
      <c r="D323" s="4"/>
      <c r="E323" s="4"/>
      <c r="F323" s="5"/>
    </row>
    <row r="324" spans="1:6" ht="21.6" customHeight="1">
      <c r="A324" s="7"/>
      <c r="B324" s="7"/>
      <c r="C324" s="4"/>
      <c r="D324" s="4"/>
      <c r="E324" s="4"/>
      <c r="F324" s="5"/>
    </row>
    <row r="325" spans="1:6" ht="21.6" customHeight="1">
      <c r="A325" s="7"/>
      <c r="B325" s="7"/>
      <c r="C325" s="4"/>
      <c r="D325" s="4"/>
      <c r="E325" s="4"/>
      <c r="F325" s="5"/>
    </row>
    <row r="326" spans="1:6" ht="21.6" customHeight="1">
      <c r="A326" s="7"/>
      <c r="B326" s="7"/>
      <c r="C326" s="4"/>
      <c r="D326" s="4"/>
      <c r="E326" s="4"/>
      <c r="F326" s="5"/>
    </row>
    <row r="327" spans="1:6" ht="21.6" customHeight="1">
      <c r="A327" s="7"/>
      <c r="B327" s="7"/>
      <c r="C327" s="4"/>
      <c r="D327" s="4"/>
      <c r="E327" s="4"/>
      <c r="F327" s="5"/>
    </row>
    <row r="328" spans="1:6" ht="21.6" customHeight="1">
      <c r="A328" s="7"/>
      <c r="B328" s="7"/>
      <c r="C328" s="4"/>
      <c r="D328" s="4"/>
      <c r="E328" s="4"/>
      <c r="F328" s="5"/>
    </row>
    <row r="329" spans="1:6" ht="21.6" customHeight="1">
      <c r="A329" s="7"/>
      <c r="B329" s="7"/>
      <c r="C329" s="4"/>
      <c r="D329" s="4"/>
      <c r="E329" s="4"/>
      <c r="F329" s="5"/>
    </row>
    <row r="330" spans="1:6" ht="21.6" customHeight="1">
      <c r="A330" s="7"/>
      <c r="B330" s="7"/>
      <c r="C330" s="4"/>
      <c r="D330" s="4"/>
      <c r="E330" s="4"/>
      <c r="F330" s="5"/>
    </row>
    <row r="331" spans="1:6" ht="21.6" customHeight="1">
      <c r="A331" s="7"/>
      <c r="B331" s="7"/>
      <c r="C331" s="4"/>
      <c r="D331" s="4"/>
      <c r="E331" s="4"/>
      <c r="F331" s="5"/>
    </row>
    <row r="332" spans="1:6" ht="21.6" customHeight="1">
      <c r="A332" s="7"/>
      <c r="B332" s="7"/>
      <c r="C332" s="4"/>
      <c r="D332" s="4"/>
      <c r="E332" s="4"/>
      <c r="F332" s="5"/>
    </row>
    <row r="333" spans="1:6" ht="21.6" customHeight="1">
      <c r="A333" s="7"/>
      <c r="B333" s="7"/>
      <c r="C333" s="4"/>
      <c r="D333" s="4"/>
      <c r="E333" s="4"/>
      <c r="F333" s="5"/>
    </row>
    <row r="334" spans="1:6" ht="21.6" customHeight="1">
      <c r="A334" s="7"/>
      <c r="B334" s="7"/>
      <c r="C334" s="4"/>
      <c r="D334" s="4"/>
      <c r="E334" s="4"/>
      <c r="F334" s="5"/>
    </row>
    <row r="335" spans="1:6" ht="21.6" customHeight="1">
      <c r="A335" s="7"/>
      <c r="B335" s="7"/>
      <c r="C335" s="4"/>
      <c r="D335" s="4"/>
      <c r="E335" s="4"/>
      <c r="F335" s="5"/>
    </row>
    <row r="336" spans="1:6" ht="21.6" customHeight="1">
      <c r="A336" s="7"/>
      <c r="B336" s="7"/>
      <c r="C336" s="4"/>
      <c r="D336" s="4"/>
      <c r="E336" s="4"/>
      <c r="F336" s="5"/>
    </row>
    <row r="337" spans="1:6" ht="21.6" customHeight="1">
      <c r="A337" s="7"/>
      <c r="B337" s="7"/>
      <c r="C337" s="4"/>
      <c r="D337" s="4"/>
      <c r="E337" s="4"/>
      <c r="F337" s="5"/>
    </row>
    <row r="338" spans="1:6" ht="21.6" customHeight="1">
      <c r="A338" s="7"/>
      <c r="B338" s="7"/>
      <c r="C338" s="4"/>
      <c r="D338" s="4"/>
      <c r="E338" s="4"/>
      <c r="F338" s="5"/>
    </row>
    <row r="339" spans="1:6" ht="21.6" customHeight="1">
      <c r="A339" s="7"/>
      <c r="B339" s="7"/>
      <c r="C339" s="4"/>
      <c r="D339" s="4"/>
      <c r="E339" s="4"/>
      <c r="F339" s="5"/>
    </row>
    <row r="340" spans="1:6" ht="21.6" customHeight="1">
      <c r="A340" s="7"/>
      <c r="B340" s="7"/>
      <c r="C340" s="4"/>
      <c r="D340" s="4"/>
      <c r="E340" s="4"/>
      <c r="F340" s="5"/>
    </row>
    <row r="341" spans="1:6" ht="21.6" customHeight="1">
      <c r="A341" s="7"/>
      <c r="B341" s="7"/>
      <c r="C341" s="4"/>
      <c r="D341" s="4"/>
      <c r="E341" s="4"/>
      <c r="F341" s="5"/>
    </row>
    <row r="342" spans="1:6" ht="21.6" customHeight="1">
      <c r="A342" s="7"/>
      <c r="B342" s="7"/>
      <c r="C342" s="4"/>
      <c r="D342" s="4"/>
      <c r="E342" s="4"/>
      <c r="F342" s="5"/>
    </row>
    <row r="343" spans="1:6" ht="21.6" customHeight="1">
      <c r="A343" s="7"/>
      <c r="B343" s="7"/>
      <c r="C343" s="4"/>
      <c r="D343" s="4"/>
      <c r="E343" s="4"/>
      <c r="F343" s="5"/>
    </row>
    <row r="344" spans="1:6" ht="21.6" customHeight="1">
      <c r="A344" s="7"/>
      <c r="B344" s="7"/>
      <c r="C344" s="4"/>
      <c r="D344" s="4"/>
      <c r="E344" s="4"/>
      <c r="F344" s="5"/>
    </row>
    <row r="345" spans="1:6" ht="21.6" customHeight="1">
      <c r="A345" s="7"/>
      <c r="B345" s="7"/>
      <c r="C345" s="4"/>
      <c r="D345" s="4"/>
      <c r="E345" s="4"/>
      <c r="F345" s="5"/>
    </row>
    <row r="346" spans="1:6" ht="21.6" customHeight="1">
      <c r="A346" s="7"/>
      <c r="B346" s="7"/>
      <c r="C346" s="4"/>
      <c r="D346" s="4"/>
      <c r="E346" s="4"/>
      <c r="F346" s="5"/>
    </row>
    <row r="347" spans="1:6" ht="21.6" customHeight="1">
      <c r="A347" s="7"/>
      <c r="B347" s="7"/>
      <c r="C347" s="4"/>
      <c r="D347" s="4"/>
      <c r="E347" s="4"/>
      <c r="F347" s="5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A65CF-2127-4A04-810D-AD3013A6CAAE}">
  <sheetPr codeName="Sheet10"/>
  <dimension ref="A1:C384"/>
  <sheetViews>
    <sheetView topLeftCell="A19" zoomScale="130" zoomScaleNormal="130" workbookViewId="0">
      <selection activeCell="C29" sqref="C29"/>
    </sheetView>
  </sheetViews>
  <sheetFormatPr defaultColWidth="8.88671875" defaultRowHeight="21.6" customHeight="1"/>
  <cols>
    <col min="1" max="1" width="8.88671875" style="8"/>
    <col min="2" max="2" width="91.6640625" style="1" customWidth="1"/>
    <col min="3" max="3" width="90" style="1" customWidth="1"/>
    <col min="4" max="16384" width="8.88671875" style="1"/>
  </cols>
  <sheetData>
    <row r="1" spans="1:3" s="16" customFormat="1" ht="21.6" customHeight="1">
      <c r="A1" s="13" t="s">
        <v>225</v>
      </c>
      <c r="B1" s="14" t="s">
        <v>226</v>
      </c>
      <c r="C1" s="15" t="s">
        <v>227</v>
      </c>
    </row>
    <row r="2" spans="1:3" ht="21.6" customHeight="1">
      <c r="A2" s="7">
        <v>1</v>
      </c>
      <c r="B2" s="10" t="s">
        <v>164</v>
      </c>
      <c r="C2" s="11" t="s">
        <v>194</v>
      </c>
    </row>
    <row r="3" spans="1:3" ht="21.6" customHeight="1">
      <c r="A3" s="7">
        <v>2</v>
      </c>
      <c r="B3" s="10" t="s">
        <v>180</v>
      </c>
      <c r="C3" s="11" t="s">
        <v>195</v>
      </c>
    </row>
    <row r="4" spans="1:3" ht="21.6" customHeight="1">
      <c r="A4" s="7">
        <v>3</v>
      </c>
      <c r="B4" s="10" t="s">
        <v>181</v>
      </c>
      <c r="C4" s="11" t="s">
        <v>196</v>
      </c>
    </row>
    <row r="5" spans="1:3" ht="21.6" customHeight="1">
      <c r="A5" s="7">
        <v>4</v>
      </c>
      <c r="B5" s="10" t="s">
        <v>182</v>
      </c>
      <c r="C5" s="11" t="s">
        <v>197</v>
      </c>
    </row>
    <row r="6" spans="1:3" ht="21.6" customHeight="1">
      <c r="A6" s="7">
        <v>5</v>
      </c>
      <c r="B6" s="10" t="s">
        <v>183</v>
      </c>
      <c r="C6" s="11" t="s">
        <v>198</v>
      </c>
    </row>
    <row r="7" spans="1:3" ht="21.6" customHeight="1">
      <c r="A7" s="7">
        <v>6</v>
      </c>
      <c r="B7" s="10" t="s">
        <v>184</v>
      </c>
      <c r="C7" s="11" t="s">
        <v>199</v>
      </c>
    </row>
    <row r="8" spans="1:3" ht="21.6" customHeight="1">
      <c r="A8" s="7">
        <v>7</v>
      </c>
      <c r="B8" s="10" t="s">
        <v>165</v>
      </c>
      <c r="C8" s="11" t="s">
        <v>200</v>
      </c>
    </row>
    <row r="9" spans="1:3" ht="21.6" customHeight="1">
      <c r="A9" s="7">
        <v>8</v>
      </c>
      <c r="B9" s="10" t="s">
        <v>166</v>
      </c>
      <c r="C9" s="11" t="s">
        <v>201</v>
      </c>
    </row>
    <row r="10" spans="1:3" ht="21.6" customHeight="1">
      <c r="A10" s="7">
        <v>9</v>
      </c>
      <c r="B10" s="10" t="s">
        <v>167</v>
      </c>
      <c r="C10" s="11" t="s">
        <v>202</v>
      </c>
    </row>
    <row r="11" spans="1:3" ht="21.6" customHeight="1">
      <c r="A11" s="7">
        <v>10</v>
      </c>
      <c r="B11" s="10" t="s">
        <v>168</v>
      </c>
      <c r="C11" s="11" t="s">
        <v>203</v>
      </c>
    </row>
    <row r="12" spans="1:3" ht="21.6" customHeight="1">
      <c r="A12" s="7">
        <v>11</v>
      </c>
      <c r="B12" s="10" t="s">
        <v>169</v>
      </c>
      <c r="C12" s="11" t="s">
        <v>204</v>
      </c>
    </row>
    <row r="13" spans="1:3" ht="21.6" customHeight="1">
      <c r="A13" s="7">
        <v>12</v>
      </c>
      <c r="B13" s="10" t="s">
        <v>185</v>
      </c>
      <c r="C13" s="11" t="s">
        <v>205</v>
      </c>
    </row>
    <row r="14" spans="1:3" ht="21.6" customHeight="1">
      <c r="A14" s="7">
        <v>13</v>
      </c>
      <c r="B14" s="10" t="s">
        <v>170</v>
      </c>
      <c r="C14" s="11" t="s">
        <v>206</v>
      </c>
    </row>
    <row r="15" spans="1:3" ht="21.6" customHeight="1">
      <c r="A15" s="7">
        <v>14</v>
      </c>
      <c r="B15" s="10" t="s">
        <v>171</v>
      </c>
      <c r="C15" s="11" t="s">
        <v>207</v>
      </c>
    </row>
    <row r="16" spans="1:3" ht="21.6" customHeight="1">
      <c r="A16" s="7">
        <v>15</v>
      </c>
      <c r="B16" s="10" t="s">
        <v>172</v>
      </c>
      <c r="C16" s="11" t="s">
        <v>208</v>
      </c>
    </row>
    <row r="17" spans="1:3" ht="21.6" customHeight="1">
      <c r="A17" s="7">
        <v>16</v>
      </c>
      <c r="B17" s="10" t="s">
        <v>173</v>
      </c>
      <c r="C17" s="11" t="s">
        <v>209</v>
      </c>
    </row>
    <row r="18" spans="1:3" ht="21.6" customHeight="1">
      <c r="A18" s="7">
        <v>17</v>
      </c>
      <c r="B18" s="10" t="s">
        <v>174</v>
      </c>
      <c r="C18" s="11" t="s">
        <v>210</v>
      </c>
    </row>
    <row r="19" spans="1:3" ht="21.6" customHeight="1">
      <c r="A19" s="7">
        <v>18</v>
      </c>
      <c r="B19" s="10" t="s">
        <v>186</v>
      </c>
      <c r="C19" s="11" t="s">
        <v>211</v>
      </c>
    </row>
    <row r="20" spans="1:3" ht="21.6" customHeight="1">
      <c r="A20" s="7">
        <v>19</v>
      </c>
      <c r="B20" s="10" t="s">
        <v>187</v>
      </c>
      <c r="C20" s="11" t="s">
        <v>212</v>
      </c>
    </row>
    <row r="21" spans="1:3" ht="21.6" customHeight="1">
      <c r="A21" s="7">
        <v>20</v>
      </c>
      <c r="B21" s="10" t="s">
        <v>175</v>
      </c>
      <c r="C21" s="11" t="s">
        <v>213</v>
      </c>
    </row>
    <row r="22" spans="1:3" ht="21.6" customHeight="1">
      <c r="A22" s="7">
        <v>21</v>
      </c>
      <c r="B22" s="10" t="s">
        <v>188</v>
      </c>
      <c r="C22" s="11" t="s">
        <v>214</v>
      </c>
    </row>
    <row r="23" spans="1:3" ht="21.6" customHeight="1">
      <c r="A23" s="7">
        <v>22</v>
      </c>
      <c r="B23" s="10" t="s">
        <v>176</v>
      </c>
      <c r="C23" s="11" t="s">
        <v>215</v>
      </c>
    </row>
    <row r="24" spans="1:3" ht="21.6" customHeight="1">
      <c r="A24" s="7">
        <v>25</v>
      </c>
      <c r="B24" s="10" t="s">
        <v>177</v>
      </c>
      <c r="C24" s="11" t="s">
        <v>216</v>
      </c>
    </row>
    <row r="25" spans="1:3" ht="21.6" customHeight="1">
      <c r="A25" s="7">
        <v>26</v>
      </c>
      <c r="B25" s="10" t="s">
        <v>178</v>
      </c>
      <c r="C25" s="11" t="s">
        <v>217</v>
      </c>
    </row>
    <row r="26" spans="1:3" ht="21.6" customHeight="1">
      <c r="A26" s="7">
        <v>27</v>
      </c>
      <c r="B26" s="10" t="s">
        <v>189</v>
      </c>
      <c r="C26" s="11" t="s">
        <v>216</v>
      </c>
    </row>
    <row r="27" spans="1:3" ht="21.6" customHeight="1">
      <c r="A27" s="7">
        <v>28</v>
      </c>
      <c r="B27" s="10" t="s">
        <v>218</v>
      </c>
      <c r="C27" s="11" t="s">
        <v>219</v>
      </c>
    </row>
    <row r="28" spans="1:3" ht="21.6" customHeight="1">
      <c r="A28" s="7">
        <v>29</v>
      </c>
      <c r="B28" s="10" t="s">
        <v>190</v>
      </c>
      <c r="C28" s="17" t="s">
        <v>229</v>
      </c>
    </row>
    <row r="29" spans="1:3" ht="21.6" customHeight="1">
      <c r="A29" s="7">
        <v>31</v>
      </c>
      <c r="B29" s="10" t="s">
        <v>191</v>
      </c>
      <c r="C29" s="11" t="s">
        <v>220</v>
      </c>
    </row>
    <row r="30" spans="1:3" ht="21.6" customHeight="1">
      <c r="A30" s="7">
        <v>32</v>
      </c>
      <c r="B30" s="10" t="s">
        <v>192</v>
      </c>
      <c r="C30" s="11" t="s">
        <v>221</v>
      </c>
    </row>
    <row r="31" spans="1:3" ht="21.6" customHeight="1">
      <c r="A31" s="7">
        <v>34</v>
      </c>
      <c r="B31" s="10" t="s">
        <v>179</v>
      </c>
      <c r="C31" s="11" t="s">
        <v>222</v>
      </c>
    </row>
    <row r="32" spans="1:3" ht="21.6" customHeight="1">
      <c r="A32" s="7">
        <v>35</v>
      </c>
      <c r="B32" s="10" t="s">
        <v>193</v>
      </c>
      <c r="C32" s="11" t="s">
        <v>223</v>
      </c>
    </row>
    <row r="33" spans="1:3" ht="21.6" customHeight="1">
      <c r="A33" s="7">
        <v>36</v>
      </c>
      <c r="B33" s="10" t="s">
        <v>228</v>
      </c>
      <c r="C33" s="11" t="s">
        <v>224</v>
      </c>
    </row>
    <row r="34" spans="1:3" ht="21.6" customHeight="1">
      <c r="A34" s="7">
        <v>37</v>
      </c>
      <c r="B34" s="10"/>
      <c r="C34" s="11"/>
    </row>
    <row r="35" spans="1:3" ht="21.6" customHeight="1">
      <c r="A35" s="7">
        <v>38</v>
      </c>
      <c r="B35" s="10"/>
      <c r="C35" s="11"/>
    </row>
    <row r="36" spans="1:3" ht="21.6" customHeight="1">
      <c r="A36" s="7">
        <v>39</v>
      </c>
      <c r="B36" s="10"/>
      <c r="C36" s="11"/>
    </row>
    <row r="37" spans="1:3" ht="21.6" customHeight="1">
      <c r="A37" s="7">
        <v>40</v>
      </c>
      <c r="B37" s="10"/>
      <c r="C37" s="11"/>
    </row>
    <row r="38" spans="1:3" ht="21.6" customHeight="1">
      <c r="A38" s="7">
        <v>41</v>
      </c>
      <c r="B38" s="10"/>
      <c r="C38" s="11"/>
    </row>
    <row r="39" spans="1:3" ht="21.6" customHeight="1">
      <c r="A39" s="7">
        <v>42</v>
      </c>
      <c r="B39" s="10"/>
      <c r="C39" s="11"/>
    </row>
    <row r="40" spans="1:3" ht="21.6" customHeight="1">
      <c r="A40" s="7">
        <v>43</v>
      </c>
      <c r="B40" s="10"/>
      <c r="C40" s="11"/>
    </row>
    <row r="41" spans="1:3" ht="21.6" customHeight="1">
      <c r="A41" s="7">
        <v>44</v>
      </c>
      <c r="B41" s="10"/>
      <c r="C41" s="11"/>
    </row>
    <row r="42" spans="1:3" ht="21.6" customHeight="1">
      <c r="A42" s="7">
        <v>45</v>
      </c>
      <c r="B42" s="10"/>
      <c r="C42" s="11"/>
    </row>
    <row r="43" spans="1:3" ht="21.6" customHeight="1">
      <c r="A43" s="7">
        <v>46</v>
      </c>
      <c r="B43" s="10"/>
      <c r="C43" s="11"/>
    </row>
    <row r="44" spans="1:3" ht="21.6" customHeight="1">
      <c r="A44" s="7">
        <v>47</v>
      </c>
      <c r="B44" s="10"/>
      <c r="C44" s="11"/>
    </row>
    <row r="45" spans="1:3" ht="21.6" customHeight="1">
      <c r="A45" s="7">
        <v>48</v>
      </c>
      <c r="B45" s="10"/>
      <c r="C45" s="11"/>
    </row>
    <row r="46" spans="1:3" ht="21.6" customHeight="1">
      <c r="A46" s="7">
        <v>49</v>
      </c>
      <c r="B46" s="10"/>
      <c r="C46" s="11"/>
    </row>
    <row r="47" spans="1:3" ht="21.6" customHeight="1">
      <c r="A47" s="7">
        <v>50</v>
      </c>
      <c r="B47" s="10"/>
      <c r="C47" s="11"/>
    </row>
    <row r="48" spans="1:3" ht="21.6" customHeight="1">
      <c r="A48" s="7">
        <v>51</v>
      </c>
      <c r="B48" s="10"/>
      <c r="C48" s="11"/>
    </row>
    <row r="49" spans="1:3" ht="21.6" customHeight="1">
      <c r="A49" s="7">
        <v>52</v>
      </c>
      <c r="B49" s="10"/>
      <c r="C49" s="11"/>
    </row>
    <row r="50" spans="1:3" ht="21.6" customHeight="1">
      <c r="A50" s="7">
        <v>53</v>
      </c>
      <c r="B50" s="10"/>
      <c r="C50" s="11"/>
    </row>
    <row r="51" spans="1:3" ht="21.6" customHeight="1">
      <c r="A51" s="7">
        <v>54</v>
      </c>
      <c r="B51" s="10"/>
      <c r="C51" s="11"/>
    </row>
    <row r="52" spans="1:3" ht="21.6" customHeight="1">
      <c r="A52" s="7">
        <v>55</v>
      </c>
      <c r="B52" s="10"/>
      <c r="C52" s="11"/>
    </row>
    <row r="53" spans="1:3" ht="21.6" customHeight="1">
      <c r="A53" s="7">
        <v>56</v>
      </c>
      <c r="B53" s="10"/>
      <c r="C53" s="11"/>
    </row>
    <row r="54" spans="1:3" ht="21.6" customHeight="1">
      <c r="A54" s="7">
        <v>57</v>
      </c>
      <c r="B54" s="10"/>
      <c r="C54" s="11"/>
    </row>
    <row r="55" spans="1:3" ht="21.6" customHeight="1">
      <c r="A55" s="7">
        <v>58</v>
      </c>
      <c r="B55" s="10"/>
      <c r="C55" s="11"/>
    </row>
    <row r="56" spans="1:3" ht="21.6" customHeight="1">
      <c r="A56" s="7">
        <v>59</v>
      </c>
      <c r="B56" s="10"/>
      <c r="C56" s="11"/>
    </row>
    <row r="57" spans="1:3" ht="21.6" customHeight="1">
      <c r="A57" s="7">
        <v>60</v>
      </c>
      <c r="B57" s="10"/>
      <c r="C57" s="11"/>
    </row>
    <row r="58" spans="1:3" ht="21.6" customHeight="1">
      <c r="A58" s="7">
        <v>61</v>
      </c>
      <c r="B58" s="10"/>
      <c r="C58" s="11"/>
    </row>
    <row r="59" spans="1:3" ht="21.6" customHeight="1">
      <c r="A59" s="7">
        <v>62</v>
      </c>
      <c r="B59" s="10"/>
      <c r="C59" s="11"/>
    </row>
    <row r="60" spans="1:3" ht="21.6" customHeight="1">
      <c r="A60" s="7">
        <v>63</v>
      </c>
      <c r="B60" s="10"/>
      <c r="C60" s="11"/>
    </row>
    <row r="61" spans="1:3" ht="21.6" customHeight="1">
      <c r="A61" s="7">
        <v>64</v>
      </c>
      <c r="B61" s="10"/>
      <c r="C61" s="11"/>
    </row>
    <row r="62" spans="1:3" ht="21.6" customHeight="1">
      <c r="A62" s="7">
        <v>65</v>
      </c>
      <c r="B62" s="10"/>
      <c r="C62" s="11"/>
    </row>
    <row r="63" spans="1:3" ht="21.6" customHeight="1">
      <c r="A63" s="7">
        <v>66</v>
      </c>
      <c r="B63" s="10"/>
      <c r="C63" s="11"/>
    </row>
    <row r="64" spans="1:3" ht="21.6" customHeight="1">
      <c r="A64" s="7">
        <v>67</v>
      </c>
      <c r="B64" s="10"/>
      <c r="C64" s="11"/>
    </row>
    <row r="65" spans="1:3" ht="21.6" customHeight="1">
      <c r="A65" s="7">
        <v>68</v>
      </c>
      <c r="B65" s="10"/>
      <c r="C65" s="11"/>
    </row>
    <row r="66" spans="1:3" ht="21.6" customHeight="1">
      <c r="A66" s="7">
        <v>69</v>
      </c>
      <c r="B66" s="10"/>
      <c r="C66" s="11"/>
    </row>
    <row r="67" spans="1:3" ht="21.6" customHeight="1">
      <c r="A67" s="7">
        <v>70</v>
      </c>
      <c r="B67" s="10"/>
      <c r="C67" s="11"/>
    </row>
    <row r="68" spans="1:3" ht="21.6" customHeight="1">
      <c r="A68" s="7">
        <v>71</v>
      </c>
      <c r="B68" s="10"/>
      <c r="C68" s="11"/>
    </row>
    <row r="69" spans="1:3" ht="21.6" customHeight="1">
      <c r="A69" s="7">
        <v>72</v>
      </c>
      <c r="B69" s="10"/>
      <c r="C69" s="11"/>
    </row>
    <row r="70" spans="1:3" ht="21.6" customHeight="1">
      <c r="A70" s="7">
        <v>73</v>
      </c>
      <c r="B70" s="10"/>
      <c r="C70" s="11"/>
    </row>
    <row r="71" spans="1:3" ht="21.6" customHeight="1">
      <c r="A71" s="7">
        <v>74</v>
      </c>
      <c r="B71" s="10"/>
      <c r="C71" s="11"/>
    </row>
    <row r="72" spans="1:3" ht="21.6" customHeight="1">
      <c r="A72" s="7">
        <v>75</v>
      </c>
      <c r="B72" s="10"/>
      <c r="C72" s="11"/>
    </row>
    <row r="73" spans="1:3" ht="21.6" customHeight="1">
      <c r="A73" s="7">
        <v>76</v>
      </c>
      <c r="B73" s="10"/>
      <c r="C73" s="11"/>
    </row>
    <row r="74" spans="1:3" ht="21.6" customHeight="1">
      <c r="A74" s="7">
        <v>77</v>
      </c>
      <c r="B74" s="10"/>
      <c r="C74" s="11"/>
    </row>
    <row r="75" spans="1:3" ht="21.6" customHeight="1">
      <c r="A75" s="7">
        <v>78</v>
      </c>
      <c r="B75" s="10"/>
      <c r="C75" s="11"/>
    </row>
    <row r="76" spans="1:3" ht="21.6" customHeight="1">
      <c r="A76" s="7">
        <v>79</v>
      </c>
      <c r="B76" s="10"/>
      <c r="C76" s="11"/>
    </row>
    <row r="77" spans="1:3" ht="21.6" customHeight="1">
      <c r="A77" s="7">
        <v>80</v>
      </c>
      <c r="B77" s="10"/>
      <c r="C77" s="11"/>
    </row>
    <row r="78" spans="1:3" ht="21.6" customHeight="1">
      <c r="A78" s="7">
        <v>81</v>
      </c>
      <c r="B78" s="10"/>
      <c r="C78" s="11"/>
    </row>
    <row r="79" spans="1:3" ht="21.6" customHeight="1">
      <c r="A79" s="7">
        <v>82</v>
      </c>
      <c r="B79" s="10"/>
      <c r="C79" s="11"/>
    </row>
    <row r="80" spans="1:3" ht="21.6" customHeight="1">
      <c r="A80" s="7">
        <v>83</v>
      </c>
      <c r="B80" s="10"/>
      <c r="C80" s="11"/>
    </row>
    <row r="81" spans="1:3" ht="21.6" customHeight="1">
      <c r="A81" s="7">
        <v>84</v>
      </c>
      <c r="B81" s="10"/>
      <c r="C81" s="11"/>
    </row>
    <row r="82" spans="1:3" ht="21.6" customHeight="1">
      <c r="A82" s="7">
        <v>85</v>
      </c>
      <c r="B82" s="10"/>
      <c r="C82" s="11"/>
    </row>
    <row r="83" spans="1:3" ht="21.6" customHeight="1">
      <c r="A83" s="7">
        <v>86</v>
      </c>
      <c r="B83" s="10"/>
      <c r="C83" s="11"/>
    </row>
    <row r="84" spans="1:3" ht="21.6" customHeight="1">
      <c r="A84" s="7">
        <v>87</v>
      </c>
      <c r="B84" s="10"/>
      <c r="C84" s="11"/>
    </row>
    <row r="85" spans="1:3" ht="21.6" customHeight="1">
      <c r="A85" s="7">
        <v>88</v>
      </c>
      <c r="B85" s="10"/>
      <c r="C85" s="11"/>
    </row>
    <row r="86" spans="1:3" ht="21.6" customHeight="1">
      <c r="A86" s="7">
        <v>89</v>
      </c>
      <c r="B86" s="10"/>
      <c r="C86" s="11"/>
    </row>
    <row r="87" spans="1:3" ht="21.6" customHeight="1">
      <c r="A87" s="7">
        <v>90</v>
      </c>
      <c r="B87" s="10"/>
      <c r="C87" s="11"/>
    </row>
    <row r="88" spans="1:3" ht="21.6" customHeight="1">
      <c r="A88" s="7">
        <v>91</v>
      </c>
      <c r="B88" s="10"/>
      <c r="C88" s="11"/>
    </row>
    <row r="89" spans="1:3" ht="21.6" customHeight="1">
      <c r="A89" s="7">
        <v>92</v>
      </c>
      <c r="B89" s="10"/>
      <c r="C89" s="11"/>
    </row>
    <row r="90" spans="1:3" ht="21.6" customHeight="1">
      <c r="A90" s="7">
        <v>93</v>
      </c>
      <c r="B90" s="10"/>
      <c r="C90" s="11"/>
    </row>
    <row r="91" spans="1:3" ht="21.6" customHeight="1">
      <c r="A91" s="7">
        <v>94</v>
      </c>
      <c r="B91" s="10"/>
      <c r="C91" s="11"/>
    </row>
    <row r="92" spans="1:3" ht="21.6" customHeight="1">
      <c r="A92" s="7">
        <v>95</v>
      </c>
      <c r="B92" s="10"/>
      <c r="C92" s="11"/>
    </row>
    <row r="93" spans="1:3" ht="21.6" customHeight="1">
      <c r="A93" s="7">
        <v>96</v>
      </c>
      <c r="B93" s="10"/>
      <c r="C93" s="11"/>
    </row>
    <row r="94" spans="1:3" ht="21.6" customHeight="1">
      <c r="A94" s="7">
        <v>97</v>
      </c>
      <c r="B94" s="10"/>
      <c r="C94" s="11"/>
    </row>
    <row r="95" spans="1:3" ht="21.6" customHeight="1">
      <c r="A95" s="7">
        <v>98</v>
      </c>
      <c r="B95" s="10"/>
      <c r="C95" s="11"/>
    </row>
    <row r="96" spans="1:3" ht="21.6" customHeight="1">
      <c r="A96" s="7">
        <v>99</v>
      </c>
      <c r="B96" s="10"/>
      <c r="C96" s="11"/>
    </row>
    <row r="97" spans="1:3" ht="21.6" customHeight="1">
      <c r="A97" s="7">
        <v>100</v>
      </c>
      <c r="B97" s="10"/>
      <c r="C97" s="11"/>
    </row>
    <row r="98" spans="1:3" ht="21.6" customHeight="1">
      <c r="A98" s="7">
        <v>101</v>
      </c>
      <c r="B98" s="10"/>
      <c r="C98" s="11"/>
    </row>
    <row r="99" spans="1:3" ht="21.6" customHeight="1">
      <c r="A99" s="7">
        <v>102</v>
      </c>
      <c r="B99" s="10"/>
      <c r="C99" s="11"/>
    </row>
    <row r="100" spans="1:3" ht="21.6" customHeight="1">
      <c r="A100" s="7">
        <v>103</v>
      </c>
      <c r="B100" s="10"/>
      <c r="C100" s="11"/>
    </row>
    <row r="101" spans="1:3" ht="21.6" customHeight="1">
      <c r="A101" s="7">
        <v>104</v>
      </c>
      <c r="B101" s="10"/>
      <c r="C101" s="11"/>
    </row>
    <row r="102" spans="1:3" ht="21.6" customHeight="1">
      <c r="A102" s="7">
        <v>105</v>
      </c>
      <c r="B102" s="10"/>
      <c r="C102" s="11"/>
    </row>
    <row r="103" spans="1:3" ht="21.6" customHeight="1">
      <c r="A103" s="7">
        <v>106</v>
      </c>
      <c r="B103" s="10"/>
      <c r="C103" s="11"/>
    </row>
    <row r="104" spans="1:3" ht="21.6" customHeight="1">
      <c r="A104" s="7">
        <v>107</v>
      </c>
      <c r="B104" s="10"/>
      <c r="C104" s="11"/>
    </row>
    <row r="105" spans="1:3" ht="21.6" customHeight="1">
      <c r="A105" s="7">
        <v>108</v>
      </c>
      <c r="B105" s="10"/>
      <c r="C105" s="11"/>
    </row>
    <row r="106" spans="1:3" ht="21.6" customHeight="1">
      <c r="A106" s="7">
        <v>109</v>
      </c>
      <c r="B106" s="10"/>
      <c r="C106" s="11"/>
    </row>
    <row r="107" spans="1:3" ht="21.6" customHeight="1">
      <c r="A107" s="7">
        <v>110</v>
      </c>
      <c r="B107" s="10"/>
      <c r="C107" s="11"/>
    </row>
    <row r="108" spans="1:3" ht="21.6" customHeight="1">
      <c r="A108" s="7">
        <v>111</v>
      </c>
      <c r="B108" s="10"/>
      <c r="C108" s="11"/>
    </row>
    <row r="109" spans="1:3" ht="21.6" customHeight="1">
      <c r="A109" s="7">
        <v>112</v>
      </c>
      <c r="B109" s="10"/>
      <c r="C109" s="11"/>
    </row>
    <row r="110" spans="1:3" ht="21.6" customHeight="1">
      <c r="A110" s="7">
        <v>113</v>
      </c>
      <c r="B110" s="10"/>
      <c r="C110" s="11"/>
    </row>
    <row r="111" spans="1:3" ht="21.6" customHeight="1">
      <c r="A111" s="7">
        <v>114</v>
      </c>
      <c r="B111" s="10"/>
      <c r="C111" s="11"/>
    </row>
    <row r="112" spans="1:3" ht="21.6" customHeight="1">
      <c r="A112" s="7">
        <v>115</v>
      </c>
      <c r="B112" s="10"/>
      <c r="C112" s="11"/>
    </row>
    <row r="113" spans="1:3" ht="21.6" customHeight="1">
      <c r="A113" s="7">
        <v>116</v>
      </c>
      <c r="B113" s="10"/>
      <c r="C113" s="11"/>
    </row>
    <row r="114" spans="1:3" ht="21.6" customHeight="1">
      <c r="A114" s="7">
        <v>117</v>
      </c>
      <c r="B114" s="10"/>
      <c r="C114" s="11"/>
    </row>
    <row r="115" spans="1:3" ht="21.6" customHeight="1">
      <c r="A115" s="7">
        <v>118</v>
      </c>
      <c r="B115" s="10"/>
      <c r="C115" s="11"/>
    </row>
    <row r="116" spans="1:3" ht="21.6" customHeight="1">
      <c r="A116" s="7">
        <v>119</v>
      </c>
      <c r="B116" s="10"/>
      <c r="C116" s="11"/>
    </row>
    <row r="117" spans="1:3" ht="21.6" customHeight="1">
      <c r="A117" s="7">
        <v>120</v>
      </c>
      <c r="B117" s="10"/>
      <c r="C117" s="11"/>
    </row>
    <row r="118" spans="1:3" ht="21.6" customHeight="1">
      <c r="A118" s="7">
        <v>121</v>
      </c>
      <c r="B118" s="10"/>
      <c r="C118" s="11"/>
    </row>
    <row r="119" spans="1:3" ht="21.6" customHeight="1">
      <c r="A119" s="7">
        <v>122</v>
      </c>
      <c r="B119" s="10"/>
      <c r="C119" s="11"/>
    </row>
    <row r="120" spans="1:3" ht="21.6" customHeight="1">
      <c r="A120" s="7">
        <v>123</v>
      </c>
      <c r="B120" s="10"/>
      <c r="C120" s="11"/>
    </row>
    <row r="121" spans="1:3" ht="21.6" customHeight="1">
      <c r="A121" s="7">
        <v>124</v>
      </c>
      <c r="B121" s="10"/>
      <c r="C121" s="11"/>
    </row>
    <row r="122" spans="1:3" ht="21.6" customHeight="1">
      <c r="A122" s="7">
        <v>125</v>
      </c>
      <c r="B122" s="10"/>
      <c r="C122" s="11"/>
    </row>
    <row r="123" spans="1:3" ht="21.6" customHeight="1">
      <c r="A123" s="7">
        <v>126</v>
      </c>
      <c r="B123" s="10"/>
      <c r="C123" s="11"/>
    </row>
    <row r="124" spans="1:3" ht="21.6" customHeight="1">
      <c r="A124" s="7">
        <v>127</v>
      </c>
      <c r="B124" s="10"/>
      <c r="C124" s="11"/>
    </row>
    <row r="125" spans="1:3" ht="21.6" customHeight="1">
      <c r="A125" s="7">
        <v>128</v>
      </c>
      <c r="B125" s="10"/>
      <c r="C125" s="11"/>
    </row>
    <row r="126" spans="1:3" ht="21.6" customHeight="1">
      <c r="A126" s="7">
        <v>129</v>
      </c>
      <c r="B126" s="10"/>
      <c r="C126" s="11"/>
    </row>
    <row r="127" spans="1:3" ht="21.6" customHeight="1">
      <c r="A127" s="7">
        <v>130</v>
      </c>
      <c r="B127" s="10"/>
      <c r="C127" s="11"/>
    </row>
    <row r="128" spans="1:3" ht="21.6" customHeight="1">
      <c r="A128" s="7">
        <v>131</v>
      </c>
      <c r="B128" s="10"/>
      <c r="C128" s="11"/>
    </row>
    <row r="129" spans="1:3" ht="21.6" customHeight="1">
      <c r="A129" s="7">
        <v>132</v>
      </c>
      <c r="B129" s="10"/>
      <c r="C129" s="11"/>
    </row>
    <row r="130" spans="1:3" ht="21.6" customHeight="1">
      <c r="A130" s="7">
        <v>133</v>
      </c>
      <c r="B130" s="10"/>
      <c r="C130" s="11"/>
    </row>
    <row r="131" spans="1:3" ht="21.6" customHeight="1">
      <c r="A131" s="7">
        <v>134</v>
      </c>
      <c r="B131" s="10"/>
      <c r="C131" s="11"/>
    </row>
    <row r="132" spans="1:3" ht="21.6" customHeight="1">
      <c r="A132" s="7">
        <v>135</v>
      </c>
      <c r="B132" s="10"/>
      <c r="C132" s="11"/>
    </row>
    <row r="133" spans="1:3" ht="21.6" customHeight="1">
      <c r="A133" s="7">
        <v>136</v>
      </c>
      <c r="B133" s="10"/>
      <c r="C133" s="11"/>
    </row>
    <row r="134" spans="1:3" ht="21.6" customHeight="1">
      <c r="A134" s="7">
        <v>137</v>
      </c>
      <c r="B134" s="10"/>
      <c r="C134" s="11"/>
    </row>
    <row r="135" spans="1:3" ht="21.6" customHeight="1">
      <c r="A135" s="7">
        <v>138</v>
      </c>
      <c r="B135" s="10"/>
      <c r="C135" s="11"/>
    </row>
    <row r="136" spans="1:3" ht="21.6" customHeight="1">
      <c r="A136" s="7">
        <v>139</v>
      </c>
      <c r="B136" s="10"/>
      <c r="C136" s="11"/>
    </row>
    <row r="137" spans="1:3" ht="21.6" customHeight="1">
      <c r="A137" s="7">
        <v>140</v>
      </c>
      <c r="B137" s="10"/>
      <c r="C137" s="11"/>
    </row>
    <row r="138" spans="1:3" ht="21.6" customHeight="1">
      <c r="A138" s="7">
        <v>141</v>
      </c>
      <c r="B138" s="10"/>
      <c r="C138" s="11"/>
    </row>
    <row r="139" spans="1:3" ht="21.6" customHeight="1">
      <c r="A139" s="7">
        <v>142</v>
      </c>
      <c r="B139" s="10"/>
      <c r="C139" s="11"/>
    </row>
    <row r="140" spans="1:3" ht="21.6" customHeight="1">
      <c r="A140" s="7">
        <v>143</v>
      </c>
      <c r="B140" s="10"/>
      <c r="C140" s="11"/>
    </row>
    <row r="141" spans="1:3" ht="21.6" customHeight="1">
      <c r="A141" s="7">
        <v>144</v>
      </c>
      <c r="B141" s="10"/>
      <c r="C141" s="11"/>
    </row>
    <row r="142" spans="1:3" ht="21.6" customHeight="1">
      <c r="A142" s="7">
        <v>145</v>
      </c>
      <c r="B142" s="10"/>
      <c r="C142" s="11"/>
    </row>
    <row r="143" spans="1:3" ht="21.6" customHeight="1">
      <c r="A143" s="7">
        <v>146</v>
      </c>
      <c r="B143" s="10"/>
      <c r="C143" s="11"/>
    </row>
    <row r="144" spans="1:3" ht="21.6" customHeight="1">
      <c r="A144" s="7">
        <v>147</v>
      </c>
      <c r="B144" s="10"/>
      <c r="C144" s="11"/>
    </row>
    <row r="145" spans="1:3" ht="21.6" customHeight="1">
      <c r="A145" s="7">
        <v>148</v>
      </c>
      <c r="B145" s="10"/>
      <c r="C145" s="11"/>
    </row>
    <row r="146" spans="1:3" ht="21.6" customHeight="1">
      <c r="A146" s="7">
        <v>149</v>
      </c>
      <c r="B146" s="10"/>
      <c r="C146" s="11"/>
    </row>
    <row r="147" spans="1:3" ht="21.6" customHeight="1">
      <c r="A147" s="7">
        <v>150</v>
      </c>
      <c r="B147" s="10"/>
      <c r="C147" s="11"/>
    </row>
    <row r="148" spans="1:3" ht="21.6" customHeight="1">
      <c r="A148" s="7">
        <v>151</v>
      </c>
      <c r="B148" s="10"/>
      <c r="C148" s="11"/>
    </row>
    <row r="149" spans="1:3" ht="21.6" customHeight="1">
      <c r="A149" s="7">
        <v>152</v>
      </c>
      <c r="B149" s="10"/>
      <c r="C149" s="11"/>
    </row>
    <row r="150" spans="1:3" ht="21.6" customHeight="1">
      <c r="A150" s="7">
        <v>153</v>
      </c>
      <c r="B150" s="10"/>
      <c r="C150" s="11"/>
    </row>
    <row r="151" spans="1:3" ht="21.6" customHeight="1">
      <c r="A151" s="7">
        <v>154</v>
      </c>
      <c r="B151" s="10"/>
      <c r="C151" s="11"/>
    </row>
    <row r="152" spans="1:3" ht="21.6" customHeight="1">
      <c r="A152" s="7">
        <v>155</v>
      </c>
      <c r="B152" s="10"/>
      <c r="C152" s="11"/>
    </row>
    <row r="153" spans="1:3" ht="21.6" customHeight="1">
      <c r="A153" s="7">
        <v>156</v>
      </c>
      <c r="B153" s="10"/>
      <c r="C153" s="11"/>
    </row>
    <row r="154" spans="1:3" ht="21.6" customHeight="1">
      <c r="A154" s="7">
        <v>157</v>
      </c>
      <c r="B154" s="10"/>
      <c r="C154" s="11"/>
    </row>
    <row r="155" spans="1:3" ht="21.6" customHeight="1">
      <c r="A155" s="7">
        <v>158</v>
      </c>
      <c r="B155" s="10"/>
      <c r="C155" s="11"/>
    </row>
    <row r="156" spans="1:3" ht="21.6" customHeight="1">
      <c r="A156" s="7">
        <v>159</v>
      </c>
      <c r="B156" s="10"/>
      <c r="C156" s="11"/>
    </row>
    <row r="157" spans="1:3" ht="21.6" customHeight="1">
      <c r="A157" s="7">
        <v>160</v>
      </c>
      <c r="B157" s="10"/>
      <c r="C157" s="11"/>
    </row>
    <row r="158" spans="1:3" ht="21.6" customHeight="1">
      <c r="A158" s="7">
        <v>161</v>
      </c>
      <c r="B158" s="10"/>
      <c r="C158" s="11"/>
    </row>
    <row r="159" spans="1:3" ht="21.6" customHeight="1">
      <c r="A159" s="7">
        <v>162</v>
      </c>
      <c r="B159" s="10"/>
      <c r="C159" s="11"/>
    </row>
    <row r="160" spans="1:3" ht="21.6" customHeight="1">
      <c r="A160" s="7">
        <v>163</v>
      </c>
      <c r="B160" s="10"/>
      <c r="C160" s="11"/>
    </row>
    <row r="161" spans="1:3" ht="21.6" customHeight="1">
      <c r="A161" s="7">
        <v>164</v>
      </c>
      <c r="B161" s="10"/>
      <c r="C161" s="11"/>
    </row>
    <row r="162" spans="1:3" ht="21.6" customHeight="1">
      <c r="A162" s="7">
        <v>165</v>
      </c>
      <c r="B162" s="10"/>
      <c r="C162" s="11"/>
    </row>
    <row r="163" spans="1:3" ht="21.6" customHeight="1">
      <c r="A163" s="7">
        <v>166</v>
      </c>
      <c r="B163" s="10"/>
      <c r="C163" s="11"/>
    </row>
    <row r="164" spans="1:3" ht="21.6" customHeight="1">
      <c r="A164" s="7">
        <v>167</v>
      </c>
      <c r="B164" s="10"/>
      <c r="C164" s="11"/>
    </row>
    <row r="165" spans="1:3" ht="21.6" customHeight="1">
      <c r="A165" s="7">
        <v>168</v>
      </c>
      <c r="B165" s="10"/>
      <c r="C165" s="11"/>
    </row>
    <row r="166" spans="1:3" ht="21.6" customHeight="1">
      <c r="A166" s="7">
        <v>169</v>
      </c>
      <c r="B166" s="10"/>
      <c r="C166" s="11"/>
    </row>
    <row r="167" spans="1:3" ht="21.6" customHeight="1">
      <c r="A167" s="7">
        <v>170</v>
      </c>
      <c r="B167" s="10"/>
      <c r="C167" s="11"/>
    </row>
    <row r="168" spans="1:3" ht="21.6" customHeight="1">
      <c r="A168" s="7">
        <v>171</v>
      </c>
      <c r="B168" s="10"/>
      <c r="C168" s="11"/>
    </row>
    <row r="169" spans="1:3" ht="21.6" customHeight="1">
      <c r="A169" s="7">
        <v>172</v>
      </c>
      <c r="B169" s="10"/>
      <c r="C169" s="11"/>
    </row>
    <row r="170" spans="1:3" ht="21.6" customHeight="1">
      <c r="A170" s="7">
        <v>173</v>
      </c>
      <c r="B170" s="10"/>
      <c r="C170" s="11"/>
    </row>
    <row r="171" spans="1:3" ht="21.6" customHeight="1">
      <c r="A171" s="7">
        <v>174</v>
      </c>
      <c r="B171" s="10"/>
      <c r="C171" s="11"/>
    </row>
    <row r="172" spans="1:3" ht="21.6" customHeight="1">
      <c r="A172" s="7">
        <v>175</v>
      </c>
      <c r="B172" s="10"/>
      <c r="C172" s="11"/>
    </row>
    <row r="173" spans="1:3" ht="21.6" customHeight="1">
      <c r="A173" s="7">
        <v>176</v>
      </c>
      <c r="B173" s="10"/>
      <c r="C173" s="11"/>
    </row>
    <row r="174" spans="1:3" ht="21.6" customHeight="1">
      <c r="A174" s="7">
        <v>177</v>
      </c>
      <c r="B174" s="10"/>
      <c r="C174" s="11"/>
    </row>
    <row r="175" spans="1:3" ht="21.6" customHeight="1">
      <c r="A175" s="7">
        <v>178</v>
      </c>
      <c r="B175" s="10"/>
      <c r="C175" s="11"/>
    </row>
    <row r="176" spans="1:3" ht="21.6" customHeight="1">
      <c r="A176" s="7">
        <v>179</v>
      </c>
      <c r="B176" s="10"/>
      <c r="C176" s="11"/>
    </row>
    <row r="177" spans="1:3" ht="21.6" customHeight="1">
      <c r="A177" s="7">
        <v>180</v>
      </c>
      <c r="B177" s="10"/>
      <c r="C177" s="11"/>
    </row>
    <row r="178" spans="1:3" ht="21.6" customHeight="1">
      <c r="A178" s="7">
        <v>181</v>
      </c>
      <c r="B178" s="10"/>
      <c r="C178" s="11"/>
    </row>
    <row r="179" spans="1:3" ht="21.6" customHeight="1">
      <c r="A179" s="7">
        <v>182</v>
      </c>
      <c r="B179" s="10"/>
      <c r="C179" s="11"/>
    </row>
    <row r="180" spans="1:3" ht="21.6" customHeight="1">
      <c r="A180" s="7">
        <v>183</v>
      </c>
      <c r="B180" s="10"/>
      <c r="C180" s="11"/>
    </row>
    <row r="181" spans="1:3" ht="21.6" customHeight="1">
      <c r="A181" s="7">
        <v>184</v>
      </c>
      <c r="B181" s="10"/>
      <c r="C181" s="11"/>
    </row>
    <row r="182" spans="1:3" ht="21.6" customHeight="1">
      <c r="A182" s="7">
        <v>185</v>
      </c>
      <c r="B182" s="10"/>
      <c r="C182" s="11"/>
    </row>
    <row r="183" spans="1:3" ht="21.6" customHeight="1">
      <c r="A183" s="7">
        <v>186</v>
      </c>
      <c r="B183" s="10"/>
      <c r="C183" s="11"/>
    </row>
    <row r="184" spans="1:3" ht="21.6" customHeight="1">
      <c r="A184" s="7">
        <v>187</v>
      </c>
      <c r="B184" s="10"/>
      <c r="C184" s="11"/>
    </row>
    <row r="185" spans="1:3" ht="21.6" customHeight="1">
      <c r="A185" s="7">
        <v>188</v>
      </c>
      <c r="B185" s="10"/>
      <c r="C185" s="11"/>
    </row>
    <row r="186" spans="1:3" ht="21.6" customHeight="1">
      <c r="A186" s="7">
        <v>189</v>
      </c>
      <c r="B186" s="10"/>
      <c r="C186" s="11"/>
    </row>
    <row r="187" spans="1:3" ht="21.6" customHeight="1">
      <c r="A187" s="7">
        <v>190</v>
      </c>
      <c r="B187" s="10"/>
      <c r="C187" s="11"/>
    </row>
    <row r="188" spans="1:3" ht="21.6" customHeight="1">
      <c r="A188" s="7">
        <v>191</v>
      </c>
      <c r="B188" s="10"/>
      <c r="C188" s="11"/>
    </row>
    <row r="189" spans="1:3" ht="21.6" customHeight="1">
      <c r="A189" s="7">
        <v>192</v>
      </c>
      <c r="B189" s="10"/>
      <c r="C189" s="11"/>
    </row>
    <row r="190" spans="1:3" ht="21.6" customHeight="1">
      <c r="A190" s="7">
        <v>193</v>
      </c>
      <c r="B190" s="10"/>
      <c r="C190" s="11"/>
    </row>
    <row r="191" spans="1:3" ht="21.6" customHeight="1">
      <c r="A191" s="7">
        <v>194</v>
      </c>
      <c r="B191" s="10"/>
      <c r="C191" s="11"/>
    </row>
    <row r="192" spans="1:3" ht="21.6" customHeight="1">
      <c r="A192" s="7">
        <v>195</v>
      </c>
      <c r="B192" s="10"/>
      <c r="C192" s="11"/>
    </row>
    <row r="193" spans="1:3" ht="21.6" customHeight="1">
      <c r="A193" s="7">
        <v>196</v>
      </c>
      <c r="B193" s="10"/>
      <c r="C193" s="11"/>
    </row>
    <row r="194" spans="1:3" ht="21.6" customHeight="1">
      <c r="A194" s="7">
        <v>197</v>
      </c>
      <c r="B194" s="10"/>
      <c r="C194" s="11"/>
    </row>
    <row r="195" spans="1:3" ht="21.6" customHeight="1">
      <c r="A195" s="7">
        <v>198</v>
      </c>
      <c r="B195" s="10"/>
      <c r="C195" s="11"/>
    </row>
    <row r="196" spans="1:3" ht="21.6" customHeight="1">
      <c r="A196" s="7">
        <v>199</v>
      </c>
      <c r="B196" s="10"/>
      <c r="C196" s="11"/>
    </row>
    <row r="197" spans="1:3" ht="21.6" customHeight="1">
      <c r="A197" s="7">
        <v>200</v>
      </c>
      <c r="B197" s="10"/>
      <c r="C197" s="11"/>
    </row>
    <row r="198" spans="1:3" ht="21.6" customHeight="1">
      <c r="A198" s="7">
        <v>201</v>
      </c>
      <c r="B198" s="10"/>
      <c r="C198" s="11"/>
    </row>
    <row r="199" spans="1:3" ht="21.6" customHeight="1">
      <c r="A199" s="7">
        <v>202</v>
      </c>
      <c r="B199" s="10"/>
      <c r="C199" s="11"/>
    </row>
    <row r="200" spans="1:3" ht="21.6" customHeight="1">
      <c r="A200" s="7">
        <v>203</v>
      </c>
      <c r="B200" s="10"/>
      <c r="C200" s="11"/>
    </row>
    <row r="201" spans="1:3" ht="21.6" customHeight="1">
      <c r="A201" s="7">
        <v>204</v>
      </c>
      <c r="B201" s="10"/>
      <c r="C201" s="11"/>
    </row>
    <row r="202" spans="1:3" ht="21.6" customHeight="1">
      <c r="A202" s="7">
        <v>205</v>
      </c>
      <c r="B202" s="10"/>
      <c r="C202" s="11"/>
    </row>
    <row r="203" spans="1:3" ht="21.6" customHeight="1">
      <c r="A203" s="7">
        <v>206</v>
      </c>
      <c r="B203" s="10"/>
      <c r="C203" s="11"/>
    </row>
    <row r="204" spans="1:3" ht="21.6" customHeight="1">
      <c r="A204" s="7">
        <v>207</v>
      </c>
      <c r="B204" s="10"/>
      <c r="C204" s="11"/>
    </row>
    <row r="205" spans="1:3" ht="21.6" customHeight="1">
      <c r="A205" s="7">
        <v>208</v>
      </c>
      <c r="B205" s="10"/>
      <c r="C205" s="11"/>
    </row>
    <row r="206" spans="1:3" ht="21.6" customHeight="1">
      <c r="A206" s="7">
        <v>209</v>
      </c>
      <c r="B206" s="10"/>
      <c r="C206" s="11"/>
    </row>
    <row r="207" spans="1:3" ht="21.6" customHeight="1">
      <c r="A207" s="7">
        <v>210</v>
      </c>
      <c r="B207" s="10"/>
      <c r="C207" s="11"/>
    </row>
    <row r="208" spans="1:3" ht="21.6" customHeight="1">
      <c r="A208" s="7">
        <v>211</v>
      </c>
      <c r="B208" s="10"/>
      <c r="C208" s="11"/>
    </row>
    <row r="209" spans="1:3" ht="21.6" customHeight="1">
      <c r="A209" s="7">
        <v>212</v>
      </c>
      <c r="B209" s="10"/>
      <c r="C209" s="11"/>
    </row>
    <row r="210" spans="1:3" ht="21.6" customHeight="1">
      <c r="A210" s="7">
        <v>213</v>
      </c>
      <c r="B210" s="10"/>
      <c r="C210" s="11"/>
    </row>
    <row r="211" spans="1:3" ht="21.6" customHeight="1">
      <c r="A211" s="7">
        <v>214</v>
      </c>
      <c r="B211" s="10"/>
      <c r="C211" s="11"/>
    </row>
    <row r="212" spans="1:3" ht="21.6" customHeight="1">
      <c r="A212" s="7">
        <v>215</v>
      </c>
      <c r="B212" s="10"/>
      <c r="C212" s="11"/>
    </row>
    <row r="213" spans="1:3" ht="21.6" customHeight="1">
      <c r="A213" s="7">
        <v>216</v>
      </c>
      <c r="B213" s="10"/>
      <c r="C213" s="11"/>
    </row>
    <row r="214" spans="1:3" ht="21.6" customHeight="1">
      <c r="A214" s="7">
        <v>217</v>
      </c>
      <c r="B214" s="10"/>
      <c r="C214" s="11"/>
    </row>
    <row r="215" spans="1:3" ht="21.6" customHeight="1">
      <c r="A215" s="7">
        <v>218</v>
      </c>
      <c r="B215" s="10"/>
      <c r="C215" s="11"/>
    </row>
    <row r="216" spans="1:3" ht="21.6" customHeight="1">
      <c r="A216" s="7">
        <v>219</v>
      </c>
      <c r="B216" s="10"/>
      <c r="C216" s="11"/>
    </row>
    <row r="217" spans="1:3" ht="21.6" customHeight="1">
      <c r="A217" s="7">
        <v>220</v>
      </c>
      <c r="B217" s="10"/>
      <c r="C217" s="11"/>
    </row>
    <row r="218" spans="1:3" ht="21.6" customHeight="1">
      <c r="A218" s="7">
        <v>221</v>
      </c>
      <c r="B218" s="10"/>
      <c r="C218" s="11"/>
    </row>
    <row r="219" spans="1:3" ht="21.6" customHeight="1">
      <c r="A219" s="7">
        <v>222</v>
      </c>
      <c r="B219" s="10"/>
      <c r="C219" s="11"/>
    </row>
    <row r="220" spans="1:3" ht="21.6" customHeight="1">
      <c r="A220" s="7">
        <v>223</v>
      </c>
      <c r="B220" s="10"/>
      <c r="C220" s="11"/>
    </row>
    <row r="221" spans="1:3" ht="21.6" customHeight="1">
      <c r="A221" s="7">
        <v>224</v>
      </c>
      <c r="B221" s="10"/>
      <c r="C221" s="11"/>
    </row>
    <row r="222" spans="1:3" ht="21.6" customHeight="1">
      <c r="A222" s="7">
        <v>225</v>
      </c>
      <c r="B222" s="10"/>
      <c r="C222" s="11"/>
    </row>
    <row r="223" spans="1:3" ht="21.6" customHeight="1">
      <c r="A223" s="7">
        <v>226</v>
      </c>
      <c r="B223" s="10"/>
      <c r="C223" s="11"/>
    </row>
    <row r="224" spans="1:3" ht="21.6" customHeight="1">
      <c r="A224" s="7">
        <v>227</v>
      </c>
      <c r="B224" s="10"/>
      <c r="C224" s="11"/>
    </row>
    <row r="225" spans="1:3" ht="21.6" customHeight="1">
      <c r="A225" s="7">
        <v>228</v>
      </c>
      <c r="B225" s="10"/>
      <c r="C225" s="11"/>
    </row>
    <row r="226" spans="1:3" ht="21.6" customHeight="1">
      <c r="A226" s="7">
        <v>229</v>
      </c>
      <c r="B226" s="10"/>
      <c r="C226" s="11"/>
    </row>
    <row r="227" spans="1:3" ht="21.6" customHeight="1">
      <c r="A227" s="7">
        <v>230</v>
      </c>
      <c r="B227" s="10"/>
      <c r="C227" s="11"/>
    </row>
    <row r="228" spans="1:3" ht="21.6" customHeight="1">
      <c r="A228" s="7">
        <v>231</v>
      </c>
      <c r="B228" s="10"/>
      <c r="C228" s="11"/>
    </row>
    <row r="229" spans="1:3" ht="21.6" customHeight="1">
      <c r="A229" s="7">
        <v>232</v>
      </c>
      <c r="B229" s="10"/>
      <c r="C229" s="11"/>
    </row>
    <row r="230" spans="1:3" ht="21.6" customHeight="1">
      <c r="A230" s="7"/>
      <c r="B230" s="10"/>
      <c r="C230" s="11"/>
    </row>
    <row r="231" spans="1:3" ht="21.6" customHeight="1">
      <c r="A231" s="7"/>
      <c r="B231" s="10"/>
      <c r="C231" s="11"/>
    </row>
    <row r="232" spans="1:3" ht="21.6" customHeight="1">
      <c r="A232" s="7"/>
      <c r="B232" s="10"/>
      <c r="C232" s="11"/>
    </row>
    <row r="233" spans="1:3" ht="21.6" customHeight="1">
      <c r="A233" s="7"/>
      <c r="B233" s="10"/>
      <c r="C233" s="11"/>
    </row>
    <row r="234" spans="1:3" ht="21.6" customHeight="1">
      <c r="A234" s="7"/>
      <c r="B234" s="10"/>
      <c r="C234" s="11"/>
    </row>
    <row r="235" spans="1:3" ht="21.6" customHeight="1">
      <c r="A235" s="7"/>
      <c r="B235" s="10"/>
      <c r="C235" s="11"/>
    </row>
    <row r="236" spans="1:3" ht="21.6" customHeight="1">
      <c r="A236" s="7"/>
      <c r="B236" s="10"/>
      <c r="C236" s="11"/>
    </row>
    <row r="237" spans="1:3" ht="21.6" customHeight="1">
      <c r="A237" s="7"/>
      <c r="B237" s="10"/>
      <c r="C237" s="11"/>
    </row>
    <row r="238" spans="1:3" ht="21.6" customHeight="1">
      <c r="A238" s="7"/>
      <c r="B238" s="10"/>
      <c r="C238" s="11"/>
    </row>
    <row r="239" spans="1:3" ht="21.6" customHeight="1">
      <c r="A239" s="7"/>
      <c r="B239" s="10"/>
      <c r="C239" s="11"/>
    </row>
    <row r="240" spans="1:3" ht="21.6" customHeight="1">
      <c r="A240" s="7"/>
      <c r="B240" s="10"/>
      <c r="C240" s="11"/>
    </row>
    <row r="241" spans="1:3" ht="21.6" customHeight="1">
      <c r="A241" s="7"/>
      <c r="B241" s="10"/>
      <c r="C241" s="11"/>
    </row>
    <row r="242" spans="1:3" ht="21.6" customHeight="1">
      <c r="A242" s="7"/>
      <c r="B242" s="10"/>
      <c r="C242" s="11"/>
    </row>
    <row r="243" spans="1:3" ht="21.6" customHeight="1">
      <c r="A243" s="7"/>
      <c r="B243" s="10"/>
      <c r="C243" s="11"/>
    </row>
    <row r="244" spans="1:3" ht="21.6" customHeight="1">
      <c r="A244" s="7"/>
      <c r="B244" s="10"/>
      <c r="C244" s="11"/>
    </row>
    <row r="245" spans="1:3" ht="21.6" customHeight="1">
      <c r="A245" s="7"/>
      <c r="B245" s="10"/>
      <c r="C245" s="11"/>
    </row>
    <row r="246" spans="1:3" ht="21.6" customHeight="1">
      <c r="A246" s="7"/>
      <c r="B246" s="10"/>
      <c r="C246" s="11"/>
    </row>
    <row r="247" spans="1:3" ht="21.6" customHeight="1">
      <c r="A247" s="7"/>
      <c r="B247" s="10"/>
      <c r="C247" s="11"/>
    </row>
    <row r="248" spans="1:3" ht="21.6" customHeight="1">
      <c r="A248" s="7"/>
      <c r="B248" s="10"/>
      <c r="C248" s="11"/>
    </row>
    <row r="249" spans="1:3" ht="21.6" customHeight="1">
      <c r="A249" s="7"/>
      <c r="B249" s="10"/>
      <c r="C249" s="11"/>
    </row>
    <row r="250" spans="1:3" ht="21.6" customHeight="1">
      <c r="A250" s="7"/>
      <c r="B250" s="10"/>
      <c r="C250" s="11"/>
    </row>
    <row r="251" spans="1:3" ht="21.6" customHeight="1">
      <c r="A251" s="7"/>
      <c r="B251" s="10"/>
      <c r="C251" s="11"/>
    </row>
    <row r="252" spans="1:3" ht="21.6" customHeight="1">
      <c r="A252" s="7"/>
      <c r="B252" s="10"/>
      <c r="C252" s="11"/>
    </row>
    <row r="253" spans="1:3" ht="21.6" customHeight="1">
      <c r="A253" s="7"/>
      <c r="B253" s="10"/>
      <c r="C253" s="11"/>
    </row>
    <row r="254" spans="1:3" ht="21.6" customHeight="1">
      <c r="A254" s="7"/>
      <c r="B254" s="10"/>
      <c r="C254" s="11"/>
    </row>
    <row r="255" spans="1:3" ht="21.6" customHeight="1">
      <c r="A255" s="7"/>
      <c r="B255" s="10"/>
      <c r="C255" s="11"/>
    </row>
    <row r="256" spans="1:3" ht="21.6" customHeight="1">
      <c r="A256" s="7"/>
      <c r="B256" s="10"/>
      <c r="C256" s="11"/>
    </row>
    <row r="257" spans="1:3" ht="21.6" customHeight="1">
      <c r="A257" s="7"/>
      <c r="B257" s="10"/>
      <c r="C257" s="11"/>
    </row>
    <row r="258" spans="1:3" ht="21.6" customHeight="1">
      <c r="A258" s="7"/>
      <c r="B258" s="10"/>
      <c r="C258" s="11"/>
    </row>
    <row r="259" spans="1:3" ht="21.6" customHeight="1">
      <c r="A259" s="7"/>
      <c r="B259" s="10"/>
      <c r="C259" s="11"/>
    </row>
    <row r="260" spans="1:3" ht="21.6" customHeight="1">
      <c r="A260" s="7"/>
      <c r="B260" s="10"/>
      <c r="C260" s="11"/>
    </row>
    <row r="261" spans="1:3" ht="21.6" customHeight="1">
      <c r="A261" s="7"/>
      <c r="B261" s="10"/>
      <c r="C261" s="11"/>
    </row>
    <row r="262" spans="1:3" ht="21.6" customHeight="1">
      <c r="A262" s="7"/>
      <c r="B262" s="10"/>
      <c r="C262" s="11"/>
    </row>
    <row r="263" spans="1:3" ht="21.6" customHeight="1">
      <c r="A263" s="7"/>
      <c r="B263" s="10"/>
      <c r="C263" s="11"/>
    </row>
    <row r="264" spans="1:3" ht="21.6" customHeight="1">
      <c r="A264" s="7"/>
      <c r="B264" s="10"/>
      <c r="C264" s="11"/>
    </row>
    <row r="265" spans="1:3" ht="21.6" customHeight="1">
      <c r="A265" s="7"/>
      <c r="B265" s="10"/>
      <c r="C265" s="11"/>
    </row>
    <row r="266" spans="1:3" ht="21.6" customHeight="1">
      <c r="A266" s="7"/>
      <c r="B266" s="10"/>
      <c r="C266" s="11"/>
    </row>
    <row r="267" spans="1:3" ht="21.6" customHeight="1">
      <c r="A267" s="7"/>
      <c r="B267" s="10"/>
      <c r="C267" s="11"/>
    </row>
    <row r="268" spans="1:3" ht="21.6" customHeight="1">
      <c r="A268" s="7"/>
      <c r="B268" s="10"/>
      <c r="C268" s="11"/>
    </row>
    <row r="269" spans="1:3" ht="21.6" customHeight="1">
      <c r="A269" s="7"/>
      <c r="B269" s="10"/>
      <c r="C269" s="11"/>
    </row>
    <row r="270" spans="1:3" ht="21.6" customHeight="1">
      <c r="A270" s="7"/>
      <c r="B270" s="10"/>
      <c r="C270" s="11"/>
    </row>
    <row r="271" spans="1:3" ht="21.6" customHeight="1">
      <c r="A271" s="7"/>
      <c r="B271" s="10"/>
      <c r="C271" s="11"/>
    </row>
    <row r="272" spans="1:3" ht="21.6" customHeight="1">
      <c r="A272" s="7"/>
      <c r="B272" s="10"/>
      <c r="C272" s="11"/>
    </row>
    <row r="273" spans="1:3" ht="21.6" customHeight="1">
      <c r="A273" s="7"/>
      <c r="B273" s="10"/>
      <c r="C273" s="11"/>
    </row>
    <row r="274" spans="1:3" ht="21.6" customHeight="1">
      <c r="A274" s="7"/>
      <c r="B274" s="10"/>
      <c r="C274" s="11"/>
    </row>
    <row r="275" spans="1:3" ht="21.6" customHeight="1">
      <c r="A275" s="7"/>
      <c r="B275" s="10"/>
      <c r="C275" s="11"/>
    </row>
    <row r="276" spans="1:3" ht="21.6" customHeight="1">
      <c r="A276" s="7"/>
      <c r="B276" s="10"/>
      <c r="C276" s="11"/>
    </row>
    <row r="277" spans="1:3" ht="21.6" customHeight="1">
      <c r="A277" s="7"/>
      <c r="B277" s="10"/>
      <c r="C277" s="11"/>
    </row>
    <row r="278" spans="1:3" ht="21.6" customHeight="1">
      <c r="A278" s="7"/>
      <c r="B278" s="10"/>
      <c r="C278" s="11"/>
    </row>
    <row r="279" spans="1:3" ht="21.6" customHeight="1">
      <c r="A279" s="7"/>
      <c r="B279" s="10"/>
      <c r="C279" s="11"/>
    </row>
    <row r="280" spans="1:3" ht="21.6" customHeight="1">
      <c r="A280" s="7"/>
      <c r="B280" s="10"/>
      <c r="C280" s="11"/>
    </row>
    <row r="281" spans="1:3" ht="21.6" customHeight="1">
      <c r="A281" s="7"/>
      <c r="B281" s="10"/>
      <c r="C281" s="11"/>
    </row>
    <row r="282" spans="1:3" ht="21.6" customHeight="1">
      <c r="A282" s="7"/>
      <c r="B282" s="10"/>
      <c r="C282" s="11"/>
    </row>
    <row r="283" spans="1:3" ht="21.6" customHeight="1">
      <c r="A283" s="7"/>
      <c r="B283" s="10"/>
      <c r="C283" s="11"/>
    </row>
    <row r="284" spans="1:3" ht="21.6" customHeight="1">
      <c r="A284" s="7"/>
      <c r="B284" s="10"/>
      <c r="C284" s="11"/>
    </row>
    <row r="285" spans="1:3" ht="21.6" customHeight="1">
      <c r="A285" s="7"/>
      <c r="B285" s="10"/>
      <c r="C285" s="11"/>
    </row>
    <row r="286" spans="1:3" ht="21.6" customHeight="1">
      <c r="A286" s="7"/>
      <c r="B286" s="10"/>
      <c r="C286" s="11"/>
    </row>
    <row r="287" spans="1:3" ht="21.6" customHeight="1">
      <c r="A287" s="7"/>
      <c r="B287" s="10"/>
      <c r="C287" s="11"/>
    </row>
    <row r="288" spans="1:3" ht="21.6" customHeight="1">
      <c r="A288" s="7"/>
      <c r="B288" s="10"/>
      <c r="C288" s="11"/>
    </row>
    <row r="289" spans="1:3" ht="21.6" customHeight="1">
      <c r="A289" s="7"/>
      <c r="B289" s="10"/>
      <c r="C289" s="11"/>
    </row>
    <row r="290" spans="1:3" ht="21.6" customHeight="1">
      <c r="A290" s="7"/>
      <c r="B290" s="10"/>
      <c r="C290" s="11"/>
    </row>
    <row r="291" spans="1:3" ht="21.6" customHeight="1">
      <c r="A291" s="7"/>
      <c r="B291" s="10"/>
      <c r="C291" s="11"/>
    </row>
    <row r="292" spans="1:3" ht="21.6" customHeight="1">
      <c r="A292" s="7"/>
      <c r="B292" s="10"/>
      <c r="C292" s="11"/>
    </row>
    <row r="293" spans="1:3" ht="21.6" customHeight="1">
      <c r="A293" s="7"/>
      <c r="B293" s="10"/>
      <c r="C293" s="11"/>
    </row>
    <row r="294" spans="1:3" ht="21.6" customHeight="1">
      <c r="A294" s="7"/>
      <c r="B294" s="10"/>
      <c r="C294" s="11"/>
    </row>
    <row r="295" spans="1:3" ht="21.6" customHeight="1">
      <c r="A295" s="7"/>
      <c r="B295" s="10"/>
      <c r="C295" s="11"/>
    </row>
    <row r="296" spans="1:3" ht="21.6" customHeight="1">
      <c r="A296" s="7"/>
      <c r="B296" s="10"/>
      <c r="C296" s="11"/>
    </row>
    <row r="297" spans="1:3" ht="21.6" customHeight="1">
      <c r="A297" s="7"/>
      <c r="B297" s="10"/>
      <c r="C297" s="11"/>
    </row>
    <row r="298" spans="1:3" ht="21.6" customHeight="1">
      <c r="A298" s="7"/>
      <c r="B298" s="10"/>
      <c r="C298" s="11"/>
    </row>
    <row r="299" spans="1:3" ht="21.6" customHeight="1">
      <c r="A299" s="7"/>
      <c r="B299" s="10"/>
      <c r="C299" s="11"/>
    </row>
    <row r="300" spans="1:3" ht="21.6" customHeight="1">
      <c r="A300" s="7"/>
      <c r="B300" s="10"/>
      <c r="C300" s="11"/>
    </row>
    <row r="301" spans="1:3" ht="21.6" customHeight="1">
      <c r="A301" s="7"/>
      <c r="B301" s="10"/>
      <c r="C301" s="11"/>
    </row>
    <row r="302" spans="1:3" ht="21.6" customHeight="1">
      <c r="A302" s="7"/>
      <c r="B302" s="10"/>
      <c r="C302" s="11"/>
    </row>
    <row r="303" spans="1:3" ht="21.6" customHeight="1">
      <c r="A303" s="7"/>
      <c r="B303" s="10"/>
      <c r="C303" s="11"/>
    </row>
    <row r="304" spans="1:3" ht="21.6" customHeight="1">
      <c r="A304" s="7"/>
      <c r="B304" s="10"/>
      <c r="C304" s="11"/>
    </row>
    <row r="305" spans="1:3" ht="21.6" customHeight="1">
      <c r="A305" s="7"/>
      <c r="B305" s="10"/>
      <c r="C305" s="11"/>
    </row>
    <row r="306" spans="1:3" ht="21.6" customHeight="1">
      <c r="A306" s="7"/>
      <c r="B306" s="10"/>
      <c r="C306" s="11"/>
    </row>
    <row r="307" spans="1:3" ht="21.6" customHeight="1">
      <c r="A307" s="7"/>
      <c r="B307" s="10"/>
      <c r="C307" s="11"/>
    </row>
    <row r="308" spans="1:3" ht="21.6" customHeight="1">
      <c r="A308" s="7"/>
      <c r="B308" s="10"/>
      <c r="C308" s="11"/>
    </row>
    <row r="309" spans="1:3" ht="21.6" customHeight="1">
      <c r="A309" s="7"/>
      <c r="B309" s="10"/>
      <c r="C309" s="11"/>
    </row>
    <row r="310" spans="1:3" ht="21.6" customHeight="1">
      <c r="A310" s="7"/>
      <c r="B310" s="10"/>
      <c r="C310" s="11"/>
    </row>
    <row r="311" spans="1:3" ht="21.6" customHeight="1">
      <c r="A311" s="7"/>
      <c r="B311" s="10"/>
      <c r="C311" s="11"/>
    </row>
    <row r="312" spans="1:3" ht="21.6" customHeight="1">
      <c r="A312" s="7"/>
      <c r="B312" s="10"/>
      <c r="C312" s="11"/>
    </row>
    <row r="313" spans="1:3" ht="21.6" customHeight="1">
      <c r="A313" s="7"/>
      <c r="B313" s="10"/>
      <c r="C313" s="11"/>
    </row>
    <row r="314" spans="1:3" ht="21.6" customHeight="1">
      <c r="A314" s="7"/>
      <c r="B314" s="10"/>
      <c r="C314" s="11"/>
    </row>
    <row r="315" spans="1:3" ht="21.6" customHeight="1">
      <c r="A315" s="7"/>
      <c r="B315" s="10"/>
      <c r="C315" s="11"/>
    </row>
    <row r="316" spans="1:3" ht="21.6" customHeight="1">
      <c r="A316" s="7"/>
      <c r="B316" s="10"/>
      <c r="C316" s="11"/>
    </row>
    <row r="317" spans="1:3" ht="21.6" customHeight="1">
      <c r="A317" s="7"/>
      <c r="B317" s="10"/>
      <c r="C317" s="11"/>
    </row>
    <row r="318" spans="1:3" ht="21.6" customHeight="1">
      <c r="A318" s="7"/>
      <c r="B318" s="10"/>
      <c r="C318" s="11"/>
    </row>
    <row r="319" spans="1:3" ht="21.6" customHeight="1">
      <c r="A319" s="7"/>
      <c r="B319" s="10"/>
      <c r="C319" s="11"/>
    </row>
    <row r="320" spans="1:3" ht="21.6" customHeight="1">
      <c r="A320" s="7"/>
      <c r="B320" s="10"/>
      <c r="C320" s="11"/>
    </row>
    <row r="321" spans="1:3" ht="21.6" customHeight="1">
      <c r="A321" s="7"/>
      <c r="B321" s="10"/>
      <c r="C321" s="11"/>
    </row>
    <row r="322" spans="1:3" ht="21.6" customHeight="1">
      <c r="A322" s="7"/>
      <c r="B322" s="10"/>
      <c r="C322" s="11"/>
    </row>
    <row r="323" spans="1:3" ht="21.6" customHeight="1">
      <c r="A323" s="7"/>
      <c r="B323" s="10"/>
      <c r="C323" s="11"/>
    </row>
    <row r="324" spans="1:3" ht="21.6" customHeight="1">
      <c r="A324" s="7"/>
      <c r="B324" s="10"/>
      <c r="C324" s="11"/>
    </row>
    <row r="325" spans="1:3" ht="21.6" customHeight="1">
      <c r="A325" s="7"/>
      <c r="B325" s="10"/>
      <c r="C325" s="11"/>
    </row>
    <row r="326" spans="1:3" ht="21.6" customHeight="1">
      <c r="A326" s="7"/>
      <c r="B326" s="10"/>
      <c r="C326" s="11"/>
    </row>
    <row r="327" spans="1:3" ht="21.6" customHeight="1">
      <c r="A327" s="7"/>
      <c r="B327" s="10"/>
      <c r="C327" s="11"/>
    </row>
    <row r="328" spans="1:3" ht="21.6" customHeight="1">
      <c r="A328" s="7"/>
      <c r="B328" s="10"/>
      <c r="C328" s="11"/>
    </row>
    <row r="329" spans="1:3" ht="21.6" customHeight="1">
      <c r="A329" s="7"/>
      <c r="B329" s="10"/>
      <c r="C329" s="11"/>
    </row>
    <row r="330" spans="1:3" ht="21.6" customHeight="1">
      <c r="A330" s="7"/>
      <c r="B330" s="10"/>
      <c r="C330" s="11"/>
    </row>
    <row r="331" spans="1:3" ht="21.6" customHeight="1">
      <c r="A331" s="7"/>
      <c r="B331" s="10"/>
      <c r="C331" s="11"/>
    </row>
    <row r="332" spans="1:3" ht="21.6" customHeight="1">
      <c r="A332" s="7"/>
      <c r="B332" s="10"/>
      <c r="C332" s="11"/>
    </row>
    <row r="333" spans="1:3" ht="21.6" customHeight="1">
      <c r="A333" s="7"/>
      <c r="B333" s="10"/>
      <c r="C333" s="11"/>
    </row>
    <row r="334" spans="1:3" ht="21.6" customHeight="1">
      <c r="A334" s="7"/>
      <c r="B334" s="10"/>
      <c r="C334" s="11"/>
    </row>
    <row r="335" spans="1:3" ht="21.6" customHeight="1">
      <c r="A335" s="7"/>
      <c r="B335" s="10"/>
      <c r="C335" s="11"/>
    </row>
    <row r="336" spans="1:3" ht="21.6" customHeight="1">
      <c r="A336" s="7"/>
      <c r="B336" s="10"/>
      <c r="C336" s="11"/>
    </row>
    <row r="337" spans="1:3" ht="21.6" customHeight="1">
      <c r="A337" s="7"/>
      <c r="B337" s="10"/>
      <c r="C337" s="11"/>
    </row>
    <row r="338" spans="1:3" ht="21.6" customHeight="1">
      <c r="A338" s="7"/>
      <c r="B338" s="10"/>
      <c r="C338" s="11"/>
    </row>
    <row r="339" spans="1:3" ht="21.6" customHeight="1">
      <c r="A339" s="7"/>
      <c r="B339" s="10"/>
      <c r="C339" s="11"/>
    </row>
    <row r="340" spans="1:3" ht="21.6" customHeight="1">
      <c r="A340" s="7"/>
      <c r="B340" s="10"/>
      <c r="C340" s="11"/>
    </row>
    <row r="341" spans="1:3" ht="21.6" customHeight="1">
      <c r="A341" s="7"/>
      <c r="B341" s="10"/>
      <c r="C341" s="11"/>
    </row>
    <row r="342" spans="1:3" ht="21.6" customHeight="1">
      <c r="A342" s="7"/>
      <c r="B342" s="10"/>
      <c r="C342" s="11"/>
    </row>
    <row r="343" spans="1:3" ht="21.6" customHeight="1">
      <c r="A343" s="7"/>
      <c r="B343" s="10"/>
      <c r="C343" s="11"/>
    </row>
    <row r="344" spans="1:3" ht="21.6" customHeight="1">
      <c r="A344" s="7"/>
      <c r="B344" s="10"/>
      <c r="C344" s="11"/>
    </row>
    <row r="345" spans="1:3" ht="21.6" customHeight="1">
      <c r="A345" s="7"/>
      <c r="B345" s="10"/>
      <c r="C345" s="11"/>
    </row>
    <row r="346" spans="1:3" ht="21.6" customHeight="1">
      <c r="A346" s="7"/>
      <c r="B346" s="10"/>
      <c r="C346" s="11"/>
    </row>
    <row r="347" spans="1:3" ht="21.6" customHeight="1">
      <c r="A347" s="7"/>
      <c r="B347" s="10"/>
      <c r="C347" s="11"/>
    </row>
    <row r="348" spans="1:3" ht="21.6" customHeight="1">
      <c r="A348" s="7"/>
      <c r="B348" s="10"/>
      <c r="C348" s="11"/>
    </row>
    <row r="349" spans="1:3" ht="21.6" customHeight="1">
      <c r="A349" s="7"/>
      <c r="B349" s="10"/>
      <c r="C349" s="11"/>
    </row>
    <row r="350" spans="1:3" ht="21.6" customHeight="1">
      <c r="A350" s="7"/>
      <c r="B350" s="10"/>
      <c r="C350" s="11"/>
    </row>
    <row r="351" spans="1:3" ht="21.6" customHeight="1">
      <c r="A351" s="7"/>
      <c r="B351" s="10"/>
      <c r="C351" s="11"/>
    </row>
    <row r="352" spans="1:3" ht="21.6" customHeight="1">
      <c r="A352" s="7"/>
      <c r="B352" s="10"/>
      <c r="C352" s="11"/>
    </row>
    <row r="353" spans="1:3" ht="21.6" customHeight="1">
      <c r="A353" s="7"/>
      <c r="B353" s="10"/>
      <c r="C353" s="11"/>
    </row>
    <row r="354" spans="1:3" ht="21.6" customHeight="1">
      <c r="A354" s="7"/>
      <c r="B354" s="10"/>
      <c r="C354" s="11"/>
    </row>
    <row r="355" spans="1:3" ht="21.6" customHeight="1">
      <c r="A355" s="7"/>
      <c r="B355" s="10"/>
      <c r="C355" s="11"/>
    </row>
    <row r="356" spans="1:3" ht="21.6" customHeight="1">
      <c r="A356" s="7"/>
      <c r="B356" s="10"/>
      <c r="C356" s="11"/>
    </row>
    <row r="357" spans="1:3" ht="21.6" customHeight="1">
      <c r="A357" s="7"/>
      <c r="B357" s="10"/>
      <c r="C357" s="11"/>
    </row>
    <row r="358" spans="1:3" ht="21.6" customHeight="1">
      <c r="A358" s="7"/>
      <c r="B358" s="10"/>
      <c r="C358" s="11"/>
    </row>
    <row r="359" spans="1:3" ht="21.6" customHeight="1">
      <c r="A359" s="7"/>
      <c r="B359" s="10"/>
      <c r="C359" s="11"/>
    </row>
    <row r="360" spans="1:3" ht="21.6" customHeight="1">
      <c r="A360" s="7"/>
      <c r="B360" s="10"/>
      <c r="C360" s="11"/>
    </row>
    <row r="361" spans="1:3" ht="21.6" customHeight="1">
      <c r="A361" s="7"/>
      <c r="B361" s="10"/>
      <c r="C361" s="11"/>
    </row>
    <row r="362" spans="1:3" ht="21.6" customHeight="1">
      <c r="A362" s="7"/>
      <c r="B362" s="10"/>
      <c r="C362" s="11"/>
    </row>
    <row r="363" spans="1:3" ht="21.6" customHeight="1">
      <c r="A363" s="7"/>
      <c r="B363" s="10"/>
      <c r="C363" s="11"/>
    </row>
    <row r="364" spans="1:3" ht="21.6" customHeight="1">
      <c r="A364" s="7"/>
      <c r="B364" s="10"/>
      <c r="C364" s="11"/>
    </row>
    <row r="365" spans="1:3" ht="21.6" customHeight="1">
      <c r="A365" s="7"/>
      <c r="B365" s="10"/>
      <c r="C365" s="11"/>
    </row>
    <row r="366" spans="1:3" ht="21.6" customHeight="1">
      <c r="A366" s="7"/>
      <c r="B366" s="10"/>
      <c r="C366" s="11"/>
    </row>
    <row r="367" spans="1:3" ht="21.6" customHeight="1">
      <c r="A367" s="7"/>
      <c r="B367" s="10"/>
      <c r="C367" s="11"/>
    </row>
    <row r="368" spans="1:3" ht="21.6" customHeight="1">
      <c r="A368" s="7"/>
      <c r="B368" s="10"/>
      <c r="C368" s="11"/>
    </row>
    <row r="369" spans="1:3" ht="21.6" customHeight="1">
      <c r="A369" s="7"/>
      <c r="B369" s="10"/>
      <c r="C369" s="11"/>
    </row>
    <row r="370" spans="1:3" ht="21.6" customHeight="1">
      <c r="A370" s="7"/>
      <c r="B370" s="10"/>
      <c r="C370" s="11"/>
    </row>
    <row r="371" spans="1:3" ht="21.6" customHeight="1">
      <c r="A371" s="7"/>
      <c r="B371" s="10"/>
      <c r="C371" s="11"/>
    </row>
    <row r="372" spans="1:3" ht="21.6" customHeight="1">
      <c r="A372" s="7"/>
      <c r="B372" s="10"/>
      <c r="C372" s="11"/>
    </row>
    <row r="373" spans="1:3" ht="21.6" customHeight="1">
      <c r="A373" s="7"/>
      <c r="B373" s="10"/>
      <c r="C373" s="11"/>
    </row>
    <row r="374" spans="1:3" ht="21.6" customHeight="1">
      <c r="A374" s="7"/>
      <c r="B374" s="10"/>
      <c r="C374" s="11"/>
    </row>
    <row r="375" spans="1:3" ht="21.6" customHeight="1">
      <c r="A375" s="7"/>
      <c r="B375" s="10"/>
      <c r="C375" s="11"/>
    </row>
    <row r="376" spans="1:3" ht="21.6" customHeight="1">
      <c r="A376" s="7"/>
      <c r="B376" s="4"/>
      <c r="C376" s="12"/>
    </row>
    <row r="377" spans="1:3" ht="21.6" customHeight="1">
      <c r="A377" s="7"/>
      <c r="B377" s="4"/>
      <c r="C377" s="4"/>
    </row>
    <row r="378" spans="1:3" ht="21.6" customHeight="1">
      <c r="A378" s="7"/>
      <c r="B378" s="4"/>
      <c r="C378" s="4"/>
    </row>
    <row r="379" spans="1:3" ht="21.6" customHeight="1">
      <c r="A379" s="7"/>
      <c r="B379" s="4"/>
      <c r="C379" s="4"/>
    </row>
    <row r="380" spans="1:3" ht="21.6" customHeight="1">
      <c r="A380" s="7"/>
      <c r="B380" s="4"/>
      <c r="C380" s="4"/>
    </row>
    <row r="381" spans="1:3" ht="21.6" customHeight="1">
      <c r="A381" s="7"/>
      <c r="B381" s="4"/>
      <c r="C381" s="4"/>
    </row>
    <row r="382" spans="1:3" ht="21.6" customHeight="1">
      <c r="A382" s="7"/>
      <c r="B382" s="4"/>
      <c r="C382" s="4"/>
    </row>
    <row r="383" spans="1:3" ht="21.6" customHeight="1">
      <c r="A383" s="7"/>
      <c r="B383" s="4"/>
      <c r="C383" s="4"/>
    </row>
    <row r="384" spans="1:3" ht="21.6" customHeight="1">
      <c r="A384" s="7"/>
      <c r="B384" s="4"/>
      <c r="C384" s="4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CA9E-BD59-44E8-A1A6-1826401930DA}">
  <sheetPr codeName="Sheet12"/>
  <dimension ref="A1:C195"/>
  <sheetViews>
    <sheetView topLeftCell="A43" zoomScale="130" zoomScaleNormal="130" workbookViewId="0">
      <selection activeCell="H68" sqref="H68"/>
    </sheetView>
  </sheetViews>
  <sheetFormatPr defaultRowHeight="13.8"/>
  <sheetData>
    <row r="1" spans="1:1">
      <c r="A1" t="s">
        <v>461</v>
      </c>
    </row>
    <row r="2" spans="1:1">
      <c r="A2" t="s">
        <v>462</v>
      </c>
    </row>
    <row r="3" spans="1:1">
      <c r="A3" t="s">
        <v>463</v>
      </c>
    </row>
    <row r="4" spans="1:1">
      <c r="A4" t="s">
        <v>464</v>
      </c>
    </row>
    <row r="5" spans="1:1">
      <c r="A5" t="s">
        <v>465</v>
      </c>
    </row>
    <row r="6" spans="1:1">
      <c r="A6" t="s">
        <v>466</v>
      </c>
    </row>
    <row r="7" spans="1:1">
      <c r="A7" t="s">
        <v>467</v>
      </c>
    </row>
    <row r="8" spans="1:1">
      <c r="A8" t="s">
        <v>468</v>
      </c>
    </row>
    <row r="9" spans="1:1">
      <c r="A9" t="s">
        <v>469</v>
      </c>
    </row>
    <row r="10" spans="1:1">
      <c r="A10" t="s">
        <v>470</v>
      </c>
    </row>
    <row r="11" spans="1:1">
      <c r="A11" t="s">
        <v>471</v>
      </c>
    </row>
    <row r="12" spans="1:1">
      <c r="A12" t="s">
        <v>472</v>
      </c>
    </row>
    <row r="13" spans="1:1">
      <c r="A13" t="s">
        <v>473</v>
      </c>
    </row>
    <row r="14" spans="1:1">
      <c r="A14" t="s">
        <v>474</v>
      </c>
    </row>
    <row r="15" spans="1:1">
      <c r="A15" t="s">
        <v>475</v>
      </c>
    </row>
    <row r="16" spans="1:1">
      <c r="A16" t="s">
        <v>476</v>
      </c>
    </row>
    <row r="17" spans="1:1">
      <c r="A17" t="s">
        <v>477</v>
      </c>
    </row>
    <row r="18" spans="1:1">
      <c r="A18" t="s">
        <v>478</v>
      </c>
    </row>
    <row r="19" spans="1:1">
      <c r="A19" t="s">
        <v>479</v>
      </c>
    </row>
    <row r="20" spans="1:1">
      <c r="A20" t="s">
        <v>480</v>
      </c>
    </row>
    <row r="21" spans="1:1">
      <c r="A21" t="s">
        <v>481</v>
      </c>
    </row>
    <row r="22" spans="1:1">
      <c r="A22" t="s">
        <v>482</v>
      </c>
    </row>
    <row r="23" spans="1:1">
      <c r="A23" t="s">
        <v>483</v>
      </c>
    </row>
    <row r="24" spans="1:1">
      <c r="A24" t="s">
        <v>484</v>
      </c>
    </row>
    <row r="25" spans="1:1">
      <c r="A25" t="s">
        <v>485</v>
      </c>
    </row>
    <row r="26" spans="1:1">
      <c r="A26" t="s">
        <v>486</v>
      </c>
    </row>
    <row r="27" spans="1:1">
      <c r="A27" t="s">
        <v>487</v>
      </c>
    </row>
    <row r="28" spans="1:1">
      <c r="A28" t="s">
        <v>488</v>
      </c>
    </row>
    <row r="29" spans="1:1">
      <c r="A29" t="s">
        <v>489</v>
      </c>
    </row>
    <row r="30" spans="1:1">
      <c r="A30" t="s">
        <v>490</v>
      </c>
    </row>
    <row r="31" spans="1:1">
      <c r="A31" t="s">
        <v>491</v>
      </c>
    </row>
    <row r="32" spans="1:1">
      <c r="A32" t="s">
        <v>492</v>
      </c>
    </row>
    <row r="33" spans="1:1">
      <c r="A33" t="s">
        <v>493</v>
      </c>
    </row>
    <row r="34" spans="1:1">
      <c r="A34" t="s">
        <v>494</v>
      </c>
    </row>
    <row r="35" spans="1:1">
      <c r="A35" t="s">
        <v>495</v>
      </c>
    </row>
    <row r="36" spans="1:1">
      <c r="A36" t="s">
        <v>496</v>
      </c>
    </row>
    <row r="37" spans="1:1">
      <c r="A37" t="s">
        <v>497</v>
      </c>
    </row>
    <row r="38" spans="1:1">
      <c r="A38" t="s">
        <v>498</v>
      </c>
    </row>
    <row r="39" spans="1:1">
      <c r="A39" t="s">
        <v>499</v>
      </c>
    </row>
    <row r="40" spans="1:1">
      <c r="A40" t="s">
        <v>500</v>
      </c>
    </row>
    <row r="41" spans="1:1">
      <c r="A41" t="s">
        <v>501</v>
      </c>
    </row>
    <row r="42" spans="1:1">
      <c r="A42" t="s">
        <v>502</v>
      </c>
    </row>
    <row r="43" spans="1:1">
      <c r="A43" t="s">
        <v>503</v>
      </c>
    </row>
    <row r="44" spans="1:1">
      <c r="A44" t="s">
        <v>504</v>
      </c>
    </row>
    <row r="45" spans="1:1">
      <c r="A45" t="s">
        <v>505</v>
      </c>
    </row>
    <row r="46" spans="1:1">
      <c r="A46" t="s">
        <v>506</v>
      </c>
    </row>
    <row r="47" spans="1:1">
      <c r="A47" t="s">
        <v>507</v>
      </c>
    </row>
    <row r="48" spans="1:1">
      <c r="A48" t="s">
        <v>508</v>
      </c>
    </row>
    <row r="49" spans="1:1">
      <c r="A49" t="s">
        <v>509</v>
      </c>
    </row>
    <row r="50" spans="1:1">
      <c r="A50" t="s">
        <v>510</v>
      </c>
    </row>
    <row r="51" spans="1:1">
      <c r="A51" t="s">
        <v>511</v>
      </c>
    </row>
    <row r="52" spans="1:1">
      <c r="A52" t="s">
        <v>467</v>
      </c>
    </row>
    <row r="53" spans="1:1">
      <c r="A53" t="s">
        <v>512</v>
      </c>
    </row>
    <row r="54" spans="1:1">
      <c r="A54" t="s">
        <v>513</v>
      </c>
    </row>
    <row r="55" spans="1:1">
      <c r="A55" t="s">
        <v>514</v>
      </c>
    </row>
    <row r="56" spans="1:1">
      <c r="A56" t="s">
        <v>515</v>
      </c>
    </row>
    <row r="57" spans="1:1">
      <c r="A57" t="s">
        <v>516</v>
      </c>
    </row>
    <row r="58" spans="1:1">
      <c r="A58" t="s">
        <v>517</v>
      </c>
    </row>
    <row r="59" spans="1:1">
      <c r="A59" t="s">
        <v>518</v>
      </c>
    </row>
    <row r="60" spans="1:1">
      <c r="A60" t="s">
        <v>519</v>
      </c>
    </row>
    <row r="61" spans="1:1">
      <c r="A61" t="s">
        <v>520</v>
      </c>
    </row>
    <row r="62" spans="1:1">
      <c r="A62" t="s">
        <v>521</v>
      </c>
    </row>
    <row r="63" spans="1:1">
      <c r="A63" t="s">
        <v>522</v>
      </c>
    </row>
    <row r="64" spans="1:1">
      <c r="A64" t="s">
        <v>523</v>
      </c>
    </row>
    <row r="65" spans="1:1">
      <c r="A65" t="s">
        <v>524</v>
      </c>
    </row>
    <row r="66" spans="1:1">
      <c r="A66" t="s">
        <v>525</v>
      </c>
    </row>
    <row r="67" spans="1:1">
      <c r="A67" t="s">
        <v>526</v>
      </c>
    </row>
    <row r="68" spans="1:1">
      <c r="A68" t="s">
        <v>527</v>
      </c>
    </row>
    <row r="69" spans="1:1">
      <c r="A69" t="s">
        <v>528</v>
      </c>
    </row>
    <row r="70" spans="1:1">
      <c r="A70" t="s">
        <v>529</v>
      </c>
    </row>
    <row r="71" spans="1:1">
      <c r="A71" t="s">
        <v>530</v>
      </c>
    </row>
    <row r="72" spans="1:1">
      <c r="A72" t="s">
        <v>531</v>
      </c>
    </row>
    <row r="73" spans="1:1">
      <c r="A73" t="s">
        <v>532</v>
      </c>
    </row>
    <row r="74" spans="1:1">
      <c r="A74" t="s">
        <v>533</v>
      </c>
    </row>
    <row r="75" spans="1:1">
      <c r="A75" t="s">
        <v>534</v>
      </c>
    </row>
    <row r="76" spans="1:1">
      <c r="A76" t="s">
        <v>535</v>
      </c>
    </row>
    <row r="77" spans="1:1">
      <c r="A77" t="s">
        <v>536</v>
      </c>
    </row>
    <row r="78" spans="1:1">
      <c r="A78" t="s">
        <v>537</v>
      </c>
    </row>
    <row r="79" spans="1:1">
      <c r="A79" t="s">
        <v>538</v>
      </c>
    </row>
    <row r="80" spans="1:1">
      <c r="A80" t="s">
        <v>539</v>
      </c>
    </row>
    <row r="81" spans="1:1">
      <c r="A81" t="s">
        <v>540</v>
      </c>
    </row>
    <row r="82" spans="1:1">
      <c r="A82" t="s">
        <v>541</v>
      </c>
    </row>
    <row r="83" spans="1:1">
      <c r="A83" t="s">
        <v>542</v>
      </c>
    </row>
    <row r="84" spans="1:1">
      <c r="A84" t="s">
        <v>543</v>
      </c>
    </row>
    <row r="85" spans="1:1">
      <c r="A85" t="s">
        <v>544</v>
      </c>
    </row>
    <row r="86" spans="1:1">
      <c r="A86" t="s">
        <v>545</v>
      </c>
    </row>
    <row r="87" spans="1:1">
      <c r="A87" t="s">
        <v>546</v>
      </c>
    </row>
    <row r="88" spans="1:1">
      <c r="A88" t="s">
        <v>547</v>
      </c>
    </row>
    <row r="89" spans="1:1">
      <c r="A89" t="s">
        <v>548</v>
      </c>
    </row>
    <row r="90" spans="1:1">
      <c r="A90" t="s">
        <v>549</v>
      </c>
    </row>
    <row r="91" spans="1:1">
      <c r="A91" t="s">
        <v>550</v>
      </c>
    </row>
    <row r="92" spans="1:1">
      <c r="A92" t="s">
        <v>551</v>
      </c>
    </row>
    <row r="93" spans="1:1">
      <c r="A93" t="s">
        <v>552</v>
      </c>
    </row>
    <row r="94" spans="1:1">
      <c r="A94" t="s">
        <v>553</v>
      </c>
    </row>
    <row r="95" spans="1:1">
      <c r="A95" t="s">
        <v>554</v>
      </c>
    </row>
    <row r="96" spans="1:1">
      <c r="A96" t="s">
        <v>555</v>
      </c>
    </row>
    <row r="97" spans="1:1">
      <c r="A97" t="s">
        <v>556</v>
      </c>
    </row>
    <row r="195" spans="3:3">
      <c r="C195" s="18"/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0BAF0-392B-429B-A990-9EE9AD5174B4}">
  <sheetPr codeName="Sheet13"/>
  <dimension ref="A1:B99"/>
  <sheetViews>
    <sheetView zoomScale="175" zoomScaleNormal="175" workbookViewId="0">
      <selection sqref="A1:B98"/>
    </sheetView>
  </sheetViews>
  <sheetFormatPr defaultRowHeight="13.8"/>
  <cols>
    <col min="1" max="1" width="36.77734375" customWidth="1"/>
    <col min="2" max="2" width="47.33203125" customWidth="1"/>
  </cols>
  <sheetData>
    <row r="1" spans="1:2">
      <c r="A1" t="s">
        <v>698</v>
      </c>
      <c r="B1" t="s">
        <v>557</v>
      </c>
    </row>
    <row r="2" spans="1:2">
      <c r="A2" t="s">
        <v>699</v>
      </c>
      <c r="B2" t="s">
        <v>558</v>
      </c>
    </row>
    <row r="3" spans="1:2">
      <c r="A3" t="s">
        <v>559</v>
      </c>
      <c r="B3" t="s">
        <v>560</v>
      </c>
    </row>
    <row r="4" spans="1:2">
      <c r="A4" t="s">
        <v>561</v>
      </c>
      <c r="B4" t="s">
        <v>562</v>
      </c>
    </row>
    <row r="5" spans="1:2">
      <c r="A5" t="s">
        <v>563</v>
      </c>
      <c r="B5" t="s">
        <v>327</v>
      </c>
    </row>
    <row r="6" spans="1:2">
      <c r="A6" t="s">
        <v>564</v>
      </c>
      <c r="B6" t="s">
        <v>329</v>
      </c>
    </row>
    <row r="7" spans="1:2">
      <c r="A7" t="s">
        <v>565</v>
      </c>
      <c r="B7" t="s">
        <v>331</v>
      </c>
    </row>
    <row r="8" spans="1:2">
      <c r="A8" t="s">
        <v>566</v>
      </c>
      <c r="B8" t="s">
        <v>567</v>
      </c>
    </row>
    <row r="9" spans="1:2">
      <c r="A9" t="s">
        <v>568</v>
      </c>
      <c r="B9" t="s">
        <v>680</v>
      </c>
    </row>
    <row r="10" spans="1:2">
      <c r="A10" t="s">
        <v>569</v>
      </c>
      <c r="B10" t="s">
        <v>335</v>
      </c>
    </row>
    <row r="11" spans="1:2">
      <c r="A11" t="s">
        <v>570</v>
      </c>
      <c r="B11" t="s">
        <v>571</v>
      </c>
    </row>
    <row r="12" spans="1:2">
      <c r="A12" t="s">
        <v>572</v>
      </c>
      <c r="B12" t="s">
        <v>573</v>
      </c>
    </row>
    <row r="13" spans="1:2">
      <c r="A13" t="s">
        <v>574</v>
      </c>
      <c r="B13" t="s">
        <v>339</v>
      </c>
    </row>
    <row r="14" spans="1:2">
      <c r="A14" t="s">
        <v>575</v>
      </c>
      <c r="B14" t="s">
        <v>341</v>
      </c>
    </row>
    <row r="15" spans="1:2">
      <c r="A15" t="s">
        <v>576</v>
      </c>
      <c r="B15" t="s">
        <v>681</v>
      </c>
    </row>
    <row r="16" spans="1:2">
      <c r="A16" t="s">
        <v>577</v>
      </c>
      <c r="B16" t="s">
        <v>682</v>
      </c>
    </row>
    <row r="17" spans="1:2">
      <c r="A17" t="s">
        <v>578</v>
      </c>
      <c r="B17" t="s">
        <v>345</v>
      </c>
    </row>
    <row r="18" spans="1:2">
      <c r="A18" t="s">
        <v>579</v>
      </c>
      <c r="B18" t="s">
        <v>347</v>
      </c>
    </row>
    <row r="19" spans="1:2">
      <c r="A19" t="s">
        <v>580</v>
      </c>
      <c r="B19" t="s">
        <v>683</v>
      </c>
    </row>
    <row r="20" spans="1:2">
      <c r="A20" t="s">
        <v>581</v>
      </c>
      <c r="B20" t="s">
        <v>582</v>
      </c>
    </row>
    <row r="21" spans="1:2">
      <c r="A21" t="s">
        <v>583</v>
      </c>
      <c r="B21" t="s">
        <v>584</v>
      </c>
    </row>
    <row r="22" spans="1:2">
      <c r="A22" t="s">
        <v>585</v>
      </c>
      <c r="B22" t="s">
        <v>352</v>
      </c>
    </row>
    <row r="23" spans="1:2">
      <c r="A23" t="s">
        <v>586</v>
      </c>
      <c r="B23" t="s">
        <v>587</v>
      </c>
    </row>
    <row r="24" spans="1:2">
      <c r="A24" t="s">
        <v>588</v>
      </c>
      <c r="B24" t="s">
        <v>355</v>
      </c>
    </row>
    <row r="25" spans="1:2">
      <c r="A25" t="s">
        <v>589</v>
      </c>
      <c r="B25" t="s">
        <v>357</v>
      </c>
    </row>
    <row r="26" spans="1:2">
      <c r="A26" t="s">
        <v>590</v>
      </c>
      <c r="B26" t="s">
        <v>359</v>
      </c>
    </row>
    <row r="27" spans="1:2">
      <c r="A27" t="s">
        <v>591</v>
      </c>
      <c r="B27" t="s">
        <v>592</v>
      </c>
    </row>
    <row r="28" spans="1:2">
      <c r="A28" t="s">
        <v>593</v>
      </c>
      <c r="B28" t="s">
        <v>684</v>
      </c>
    </row>
    <row r="29" spans="1:2">
      <c r="A29" t="s">
        <v>594</v>
      </c>
      <c r="B29" t="s">
        <v>595</v>
      </c>
    </row>
    <row r="30" spans="1:2">
      <c r="A30" t="s">
        <v>596</v>
      </c>
      <c r="B30" t="s">
        <v>364</v>
      </c>
    </row>
    <row r="31" spans="1:2">
      <c r="A31" t="s">
        <v>597</v>
      </c>
      <c r="B31" t="s">
        <v>366</v>
      </c>
    </row>
    <row r="32" spans="1:2">
      <c r="A32" t="s">
        <v>598</v>
      </c>
      <c r="B32" t="s">
        <v>368</v>
      </c>
    </row>
    <row r="33" spans="1:2">
      <c r="A33" t="s">
        <v>599</v>
      </c>
      <c r="B33" t="s">
        <v>600</v>
      </c>
    </row>
    <row r="34" spans="1:2">
      <c r="A34" t="s">
        <v>601</v>
      </c>
      <c r="B34" t="s">
        <v>371</v>
      </c>
    </row>
    <row r="35" spans="1:2">
      <c r="A35" t="s">
        <v>602</v>
      </c>
      <c r="B35" t="s">
        <v>685</v>
      </c>
    </row>
    <row r="36" spans="1:2">
      <c r="A36" t="s">
        <v>603</v>
      </c>
      <c r="B36" t="s">
        <v>604</v>
      </c>
    </row>
    <row r="37" spans="1:2">
      <c r="A37" t="s">
        <v>605</v>
      </c>
      <c r="B37" t="s">
        <v>375</v>
      </c>
    </row>
    <row r="38" spans="1:2">
      <c r="A38" t="s">
        <v>606</v>
      </c>
      <c r="B38" t="s">
        <v>607</v>
      </c>
    </row>
    <row r="39" spans="1:2">
      <c r="A39" t="s">
        <v>608</v>
      </c>
      <c r="B39" t="s">
        <v>378</v>
      </c>
    </row>
    <row r="40" spans="1:2">
      <c r="A40" t="s">
        <v>609</v>
      </c>
      <c r="B40" t="s">
        <v>610</v>
      </c>
    </row>
    <row r="41" spans="1:2">
      <c r="A41" s="19" t="s">
        <v>361</v>
      </c>
      <c r="B41" t="s">
        <v>700</v>
      </c>
    </row>
    <row r="42" spans="1:2">
      <c r="A42" t="s">
        <v>611</v>
      </c>
      <c r="B42" t="s">
        <v>686</v>
      </c>
    </row>
    <row r="43" spans="1:2">
      <c r="A43" t="s">
        <v>612</v>
      </c>
      <c r="B43" t="s">
        <v>687</v>
      </c>
    </row>
    <row r="44" spans="1:2">
      <c r="A44" t="s">
        <v>613</v>
      </c>
      <c r="B44" t="s">
        <v>383</v>
      </c>
    </row>
    <row r="45" spans="1:2">
      <c r="A45" t="s">
        <v>614</v>
      </c>
      <c r="B45" t="s">
        <v>385</v>
      </c>
    </row>
    <row r="46" spans="1:2">
      <c r="A46" t="s">
        <v>615</v>
      </c>
      <c r="B46" t="s">
        <v>387</v>
      </c>
    </row>
    <row r="47" spans="1:2">
      <c r="A47" t="s">
        <v>616</v>
      </c>
      <c r="B47" t="s">
        <v>389</v>
      </c>
    </row>
    <row r="48" spans="1:2">
      <c r="A48" t="s">
        <v>617</v>
      </c>
      <c r="B48" t="s">
        <v>391</v>
      </c>
    </row>
    <row r="49" spans="1:2">
      <c r="A49" t="s">
        <v>618</v>
      </c>
      <c r="B49" t="s">
        <v>619</v>
      </c>
    </row>
    <row r="50" spans="1:2">
      <c r="A50" t="s">
        <v>620</v>
      </c>
      <c r="B50" t="s">
        <v>394</v>
      </c>
    </row>
    <row r="51" spans="1:2">
      <c r="A51" t="s">
        <v>621</v>
      </c>
      <c r="B51" t="s">
        <v>396</v>
      </c>
    </row>
    <row r="52" spans="1:2">
      <c r="A52" t="s">
        <v>622</v>
      </c>
      <c r="B52" t="s">
        <v>623</v>
      </c>
    </row>
    <row r="53" spans="1:2">
      <c r="A53" t="s">
        <v>565</v>
      </c>
      <c r="B53" t="s">
        <v>331</v>
      </c>
    </row>
    <row r="54" spans="1:2">
      <c r="A54" t="s">
        <v>624</v>
      </c>
      <c r="B54" t="s">
        <v>399</v>
      </c>
    </row>
    <row r="55" spans="1:2">
      <c r="A55" t="s">
        <v>625</v>
      </c>
      <c r="B55" t="s">
        <v>309</v>
      </c>
    </row>
    <row r="56" spans="1:2">
      <c r="A56" t="s">
        <v>626</v>
      </c>
      <c r="B56" t="s">
        <v>688</v>
      </c>
    </row>
    <row r="57" spans="1:2">
      <c r="A57" t="s">
        <v>627</v>
      </c>
      <c r="B57" t="s">
        <v>310</v>
      </c>
    </row>
    <row r="58" spans="1:2">
      <c r="A58" t="s">
        <v>628</v>
      </c>
      <c r="B58" t="s">
        <v>311</v>
      </c>
    </row>
    <row r="59" spans="1:2">
      <c r="A59" t="s">
        <v>629</v>
      </c>
      <c r="B59" t="s">
        <v>402</v>
      </c>
    </row>
    <row r="60" spans="1:2">
      <c r="A60" t="s">
        <v>630</v>
      </c>
      <c r="B60" t="s">
        <v>404</v>
      </c>
    </row>
    <row r="61" spans="1:2">
      <c r="A61" t="s">
        <v>631</v>
      </c>
      <c r="B61" t="s">
        <v>406</v>
      </c>
    </row>
    <row r="62" spans="1:2">
      <c r="A62" t="s">
        <v>632</v>
      </c>
      <c r="B62" t="s">
        <v>408</v>
      </c>
    </row>
    <row r="63" spans="1:2">
      <c r="A63" t="s">
        <v>633</v>
      </c>
      <c r="B63" t="s">
        <v>410</v>
      </c>
    </row>
    <row r="64" spans="1:2">
      <c r="A64" t="s">
        <v>634</v>
      </c>
      <c r="B64" t="s">
        <v>689</v>
      </c>
    </row>
    <row r="65" spans="1:2">
      <c r="A65" t="s">
        <v>635</v>
      </c>
      <c r="B65" t="s">
        <v>413</v>
      </c>
    </row>
    <row r="66" spans="1:2">
      <c r="A66" t="s">
        <v>636</v>
      </c>
      <c r="B66" t="s">
        <v>415</v>
      </c>
    </row>
    <row r="67" spans="1:2">
      <c r="A67" t="s">
        <v>637</v>
      </c>
      <c r="B67" t="s">
        <v>416</v>
      </c>
    </row>
    <row r="68" spans="1:2">
      <c r="A68" t="s">
        <v>638</v>
      </c>
      <c r="B68" t="s">
        <v>639</v>
      </c>
    </row>
    <row r="69" spans="1:2">
      <c r="A69" t="s">
        <v>640</v>
      </c>
      <c r="B69" t="s">
        <v>419</v>
      </c>
    </row>
    <row r="70" spans="1:2">
      <c r="A70" t="s">
        <v>641</v>
      </c>
      <c r="B70" t="s">
        <v>421</v>
      </c>
    </row>
    <row r="71" spans="1:2">
      <c r="A71" t="s">
        <v>642</v>
      </c>
      <c r="B71" t="s">
        <v>423</v>
      </c>
    </row>
    <row r="72" spans="1:2">
      <c r="A72" t="s">
        <v>643</v>
      </c>
      <c r="B72" t="s">
        <v>425</v>
      </c>
    </row>
    <row r="73" spans="1:2">
      <c r="A73" t="s">
        <v>644</v>
      </c>
      <c r="B73" t="s">
        <v>427</v>
      </c>
    </row>
    <row r="74" spans="1:2">
      <c r="A74" t="s">
        <v>645</v>
      </c>
      <c r="B74" t="s">
        <v>429</v>
      </c>
    </row>
    <row r="75" spans="1:2">
      <c r="A75" t="s">
        <v>646</v>
      </c>
      <c r="B75" t="s">
        <v>431</v>
      </c>
    </row>
    <row r="76" spans="1:2">
      <c r="A76" t="s">
        <v>647</v>
      </c>
      <c r="B76" t="s">
        <v>433</v>
      </c>
    </row>
    <row r="77" spans="1:2">
      <c r="A77" t="s">
        <v>648</v>
      </c>
      <c r="B77" t="s">
        <v>690</v>
      </c>
    </row>
    <row r="78" spans="1:2">
      <c r="A78" t="s">
        <v>649</v>
      </c>
      <c r="B78" t="s">
        <v>650</v>
      </c>
    </row>
    <row r="79" spans="1:2">
      <c r="A79" t="s">
        <v>651</v>
      </c>
      <c r="B79" t="s">
        <v>652</v>
      </c>
    </row>
    <row r="80" spans="1:2">
      <c r="A80" t="s">
        <v>653</v>
      </c>
      <c r="B80" t="s">
        <v>438</v>
      </c>
    </row>
    <row r="81" spans="1:2">
      <c r="A81" t="s">
        <v>654</v>
      </c>
      <c r="B81" t="s">
        <v>655</v>
      </c>
    </row>
    <row r="82" spans="1:2">
      <c r="A82" t="s">
        <v>656</v>
      </c>
      <c r="B82" t="s">
        <v>691</v>
      </c>
    </row>
    <row r="83" spans="1:2">
      <c r="A83" t="s">
        <v>657</v>
      </c>
      <c r="B83" t="s">
        <v>692</v>
      </c>
    </row>
    <row r="84" spans="1:2">
      <c r="A84" t="s">
        <v>658</v>
      </c>
      <c r="B84" t="s">
        <v>693</v>
      </c>
    </row>
    <row r="85" spans="1:2">
      <c r="A85" t="s">
        <v>659</v>
      </c>
      <c r="B85" t="s">
        <v>694</v>
      </c>
    </row>
    <row r="86" spans="1:2">
      <c r="A86" t="s">
        <v>660</v>
      </c>
      <c r="B86" t="s">
        <v>695</v>
      </c>
    </row>
    <row r="87" spans="1:2">
      <c r="A87" t="s">
        <v>661</v>
      </c>
      <c r="B87" t="s">
        <v>696</v>
      </c>
    </row>
    <row r="88" spans="1:2">
      <c r="A88" t="s">
        <v>662</v>
      </c>
      <c r="B88" t="s">
        <v>447</v>
      </c>
    </row>
    <row r="89" spans="1:2">
      <c r="A89" t="s">
        <v>663</v>
      </c>
      <c r="B89" t="s">
        <v>449</v>
      </c>
    </row>
    <row r="90" spans="1:2">
      <c r="A90" t="s">
        <v>664</v>
      </c>
      <c r="B90" t="s">
        <v>665</v>
      </c>
    </row>
    <row r="91" spans="1:2">
      <c r="A91" t="s">
        <v>666</v>
      </c>
      <c r="B91" t="s">
        <v>667</v>
      </c>
    </row>
    <row r="92" spans="1:2">
      <c r="A92" t="s">
        <v>668</v>
      </c>
      <c r="B92" t="s">
        <v>669</v>
      </c>
    </row>
    <row r="93" spans="1:2">
      <c r="A93" t="s">
        <v>670</v>
      </c>
      <c r="B93" t="s">
        <v>454</v>
      </c>
    </row>
    <row r="94" spans="1:2">
      <c r="A94" t="s">
        <v>671</v>
      </c>
      <c r="B94" t="s">
        <v>672</v>
      </c>
    </row>
    <row r="95" spans="1:2">
      <c r="A95" t="s">
        <v>673</v>
      </c>
      <c r="B95" t="s">
        <v>674</v>
      </c>
    </row>
    <row r="96" spans="1:2">
      <c r="A96" t="s">
        <v>675</v>
      </c>
      <c r="B96" t="s">
        <v>676</v>
      </c>
    </row>
    <row r="97" spans="1:2">
      <c r="A97" t="s">
        <v>677</v>
      </c>
      <c r="B97" t="s">
        <v>678</v>
      </c>
    </row>
    <row r="98" spans="1:2">
      <c r="A98" t="s">
        <v>679</v>
      </c>
      <c r="B98" t="s">
        <v>460</v>
      </c>
    </row>
    <row r="99" spans="1:2">
      <c r="B99" t="s">
        <v>697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A627-0B84-44DA-98E8-28FBB061E2F6}">
  <sheetPr codeName="Sheet14"/>
  <dimension ref="A1:K36"/>
  <sheetViews>
    <sheetView topLeftCell="B1" zoomScale="115" zoomScaleNormal="115" workbookViewId="0">
      <selection activeCell="F68" sqref="F68"/>
    </sheetView>
  </sheetViews>
  <sheetFormatPr defaultRowHeight="13.8"/>
  <cols>
    <col min="1" max="1" width="27.44140625" customWidth="1"/>
    <col min="2" max="2" width="38.21875" customWidth="1"/>
  </cols>
  <sheetData>
    <row r="1" spans="1:11">
      <c r="A1" t="s">
        <v>900</v>
      </c>
      <c r="B1" t="s">
        <v>901</v>
      </c>
    </row>
    <row r="2" spans="1:11">
      <c r="A2" t="s">
        <v>902</v>
      </c>
      <c r="B2" t="s">
        <v>903</v>
      </c>
    </row>
    <row r="3" spans="1:11">
      <c r="A3" t="s">
        <v>904</v>
      </c>
      <c r="B3" t="s">
        <v>905</v>
      </c>
    </row>
    <row r="4" spans="1:11">
      <c r="A4" t="s">
        <v>906</v>
      </c>
      <c r="B4" t="s">
        <v>907</v>
      </c>
    </row>
    <row r="5" spans="1:11">
      <c r="A5" t="s">
        <v>908</v>
      </c>
      <c r="B5" t="s">
        <v>909</v>
      </c>
    </row>
    <row r="6" spans="1:11">
      <c r="A6" t="s">
        <v>910</v>
      </c>
      <c r="B6" t="s">
        <v>911</v>
      </c>
    </row>
    <row r="7" spans="1:11">
      <c r="A7" t="s">
        <v>912</v>
      </c>
      <c r="B7" t="s">
        <v>913</v>
      </c>
    </row>
    <row r="8" spans="1:11">
      <c r="A8" t="s">
        <v>914</v>
      </c>
      <c r="B8" t="s">
        <v>915</v>
      </c>
      <c r="K8" t="s">
        <v>941</v>
      </c>
    </row>
    <row r="9" spans="1:11">
      <c r="A9" t="s">
        <v>916</v>
      </c>
      <c r="B9" t="s">
        <v>917</v>
      </c>
      <c r="J9" t="s">
        <v>942</v>
      </c>
      <c r="K9" t="s">
        <v>941</v>
      </c>
    </row>
    <row r="10" spans="1:11">
      <c r="A10" t="s">
        <v>918</v>
      </c>
      <c r="B10" t="s">
        <v>919</v>
      </c>
      <c r="J10" t="s">
        <v>943</v>
      </c>
      <c r="K10" t="s">
        <v>944</v>
      </c>
    </row>
    <row r="11" spans="1:11">
      <c r="A11" t="s">
        <v>920</v>
      </c>
      <c r="B11" t="s">
        <v>921</v>
      </c>
      <c r="J11" t="s">
        <v>945</v>
      </c>
      <c r="K11" t="s">
        <v>946</v>
      </c>
    </row>
    <row r="12" spans="1:11">
      <c r="A12" t="s">
        <v>922</v>
      </c>
      <c r="B12" t="s">
        <v>923</v>
      </c>
      <c r="J12" t="s">
        <v>947</v>
      </c>
      <c r="K12" t="s">
        <v>948</v>
      </c>
    </row>
    <row r="13" spans="1:11">
      <c r="A13" t="s">
        <v>924</v>
      </c>
      <c r="B13" t="s">
        <v>925</v>
      </c>
      <c r="J13" t="s">
        <v>949</v>
      </c>
      <c r="K13" t="s">
        <v>950</v>
      </c>
    </row>
    <row r="14" spans="1:11">
      <c r="A14" t="s">
        <v>926</v>
      </c>
      <c r="B14" t="s">
        <v>927</v>
      </c>
      <c r="J14" t="s">
        <v>951</v>
      </c>
      <c r="K14" t="s">
        <v>952</v>
      </c>
    </row>
    <row r="15" spans="1:11">
      <c r="A15" t="s">
        <v>928</v>
      </c>
      <c r="B15" t="s">
        <v>929</v>
      </c>
      <c r="J15" t="s">
        <v>953</v>
      </c>
      <c r="K15" t="s">
        <v>954</v>
      </c>
    </row>
    <row r="16" spans="1:11">
      <c r="A16" t="s">
        <v>930</v>
      </c>
      <c r="B16" t="s">
        <v>939</v>
      </c>
      <c r="C16" t="s">
        <v>937</v>
      </c>
      <c r="J16" t="s">
        <v>955</v>
      </c>
      <c r="K16" t="s">
        <v>956</v>
      </c>
    </row>
    <row r="17" spans="1:11">
      <c r="A17" t="s">
        <v>931</v>
      </c>
      <c r="B17" t="s">
        <v>932</v>
      </c>
      <c r="J17" t="s">
        <v>957</v>
      </c>
      <c r="K17" t="s">
        <v>958</v>
      </c>
    </row>
    <row r="18" spans="1:11">
      <c r="A18" t="s">
        <v>933</v>
      </c>
      <c r="B18" t="s">
        <v>934</v>
      </c>
      <c r="J18" t="s">
        <v>959</v>
      </c>
      <c r="K18" t="s">
        <v>960</v>
      </c>
    </row>
    <row r="19" spans="1:11">
      <c r="A19" t="s">
        <v>935</v>
      </c>
      <c r="B19" t="s">
        <v>936</v>
      </c>
      <c r="J19" t="s">
        <v>961</v>
      </c>
      <c r="K19" t="s">
        <v>962</v>
      </c>
    </row>
    <row r="20" spans="1:11">
      <c r="J20" t="s">
        <v>963</v>
      </c>
      <c r="K20" t="s">
        <v>964</v>
      </c>
    </row>
    <row r="21" spans="1:11">
      <c r="J21" t="s">
        <v>965</v>
      </c>
      <c r="K21" t="s">
        <v>966</v>
      </c>
    </row>
    <row r="22" spans="1:11">
      <c r="J22" t="s">
        <v>967</v>
      </c>
      <c r="K22" t="s">
        <v>968</v>
      </c>
    </row>
    <row r="23" spans="1:11">
      <c r="J23" t="s">
        <v>969</v>
      </c>
      <c r="K23" t="s">
        <v>970</v>
      </c>
    </row>
    <row r="24" spans="1:11">
      <c r="J24" t="s">
        <v>971</v>
      </c>
      <c r="K24" t="s">
        <v>972</v>
      </c>
    </row>
    <row r="25" spans="1:11">
      <c r="J25" t="s">
        <v>973</v>
      </c>
      <c r="K25" t="s">
        <v>974</v>
      </c>
    </row>
    <row r="26" spans="1:11">
      <c r="J26" t="s">
        <v>975</v>
      </c>
      <c r="K26" t="s">
        <v>976</v>
      </c>
    </row>
    <row r="27" spans="1:11">
      <c r="J27" t="s">
        <v>977</v>
      </c>
      <c r="K27" t="s">
        <v>978</v>
      </c>
    </row>
    <row r="28" spans="1:11">
      <c r="J28" t="s">
        <v>979</v>
      </c>
      <c r="K28" t="s">
        <v>980</v>
      </c>
    </row>
    <row r="29" spans="1:11">
      <c r="J29" t="s">
        <v>981</v>
      </c>
      <c r="K29" t="s">
        <v>982</v>
      </c>
    </row>
    <row r="30" spans="1:11">
      <c r="J30" t="s">
        <v>983</v>
      </c>
      <c r="K30" t="s">
        <v>984</v>
      </c>
    </row>
    <row r="31" spans="1:11">
      <c r="J31" t="s">
        <v>985</v>
      </c>
      <c r="K31" t="s">
        <v>986</v>
      </c>
    </row>
    <row r="32" spans="1:11">
      <c r="J32" t="s">
        <v>987</v>
      </c>
      <c r="K32" t="s">
        <v>988</v>
      </c>
    </row>
    <row r="33" spans="10:11">
      <c r="J33" t="s">
        <v>989</v>
      </c>
      <c r="K33" t="s">
        <v>990</v>
      </c>
    </row>
    <row r="34" spans="10:11">
      <c r="J34" t="s">
        <v>991</v>
      </c>
      <c r="K34" t="s">
        <v>992</v>
      </c>
    </row>
    <row r="35" spans="10:11">
      <c r="J35" t="s">
        <v>993</v>
      </c>
      <c r="K35" t="s">
        <v>994</v>
      </c>
    </row>
    <row r="36" spans="10:11">
      <c r="J36" t="s">
        <v>995</v>
      </c>
      <c r="K36" t="s">
        <v>996</v>
      </c>
    </row>
  </sheetData>
  <phoneticPr fontId="2" type="noConversion"/>
  <pageMargins left="0.7" right="0.7" top="0.75" bottom="0.75" header="0.3" footer="0.3"/>
  <pageSetup paperSize="9" orientation="portrait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8066-7215-4DC2-87E6-D6A0729AF8C8}">
  <sheetPr codeName="Sheet24"/>
  <dimension ref="A1:A164"/>
  <sheetViews>
    <sheetView workbookViewId="0">
      <selection activeCell="A26" sqref="A26"/>
    </sheetView>
  </sheetViews>
  <sheetFormatPr defaultRowHeight="13.8"/>
  <cols>
    <col min="1" max="1" width="54.21875" customWidth="1"/>
  </cols>
  <sheetData>
    <row r="1" spans="1:1">
      <c r="A1" t="s">
        <v>36</v>
      </c>
    </row>
    <row r="2" spans="1:1">
      <c r="A2" t="s">
        <v>1795</v>
      </c>
    </row>
    <row r="3" spans="1:1">
      <c r="A3" t="s">
        <v>1818</v>
      </c>
    </row>
    <row r="4" spans="1:1">
      <c r="A4" t="s">
        <v>1898</v>
      </c>
    </row>
    <row r="5" spans="1:1">
      <c r="A5" t="s">
        <v>1935</v>
      </c>
    </row>
    <row r="6" spans="1:1">
      <c r="A6" t="s">
        <v>1874</v>
      </c>
    </row>
    <row r="7" spans="1:1">
      <c r="A7" t="s">
        <v>1841</v>
      </c>
    </row>
    <row r="8" spans="1:1">
      <c r="A8" t="s">
        <v>1914</v>
      </c>
    </row>
    <row r="9" spans="1:1">
      <c r="A9" t="s">
        <v>1915</v>
      </c>
    </row>
    <row r="10" spans="1:1">
      <c r="A10" t="s">
        <v>1936</v>
      </c>
    </row>
    <row r="11" spans="1:1">
      <c r="A11" t="s">
        <v>1865</v>
      </c>
    </row>
    <row r="12" spans="1:1">
      <c r="A12" t="s">
        <v>1909</v>
      </c>
    </row>
    <row r="13" spans="1:1">
      <c r="A13" t="s">
        <v>1825</v>
      </c>
    </row>
    <row r="14" spans="1:1">
      <c r="A14" t="s">
        <v>1860</v>
      </c>
    </row>
    <row r="15" spans="1:1">
      <c r="A15" t="s">
        <v>1860</v>
      </c>
    </row>
    <row r="16" spans="1:1">
      <c r="A16" t="s">
        <v>1897</v>
      </c>
    </row>
    <row r="17" spans="1:1">
      <c r="A17" t="s">
        <v>1876</v>
      </c>
    </row>
    <row r="18" spans="1:1">
      <c r="A18" t="s">
        <v>1869</v>
      </c>
    </row>
    <row r="19" spans="1:1">
      <c r="A19" t="s">
        <v>1872</v>
      </c>
    </row>
    <row r="20" spans="1:1">
      <c r="A20" t="s">
        <v>1875</v>
      </c>
    </row>
    <row r="21" spans="1:1">
      <c r="A21" t="s">
        <v>1888</v>
      </c>
    </row>
    <row r="22" spans="1:1">
      <c r="A22" t="s">
        <v>1870</v>
      </c>
    </row>
    <row r="23" spans="1:1">
      <c r="A23" t="s">
        <v>1843</v>
      </c>
    </row>
    <row r="24" spans="1:1">
      <c r="A24" t="s">
        <v>1926</v>
      </c>
    </row>
    <row r="25" spans="1:1">
      <c r="A25" t="s">
        <v>1887</v>
      </c>
    </row>
    <row r="26" spans="1:1">
      <c r="A26" t="s">
        <v>1877</v>
      </c>
    </row>
    <row r="27" spans="1:1">
      <c r="A27" t="s">
        <v>1854</v>
      </c>
    </row>
    <row r="28" spans="1:1">
      <c r="A28" t="s">
        <v>1787</v>
      </c>
    </row>
    <row r="29" spans="1:1">
      <c r="A29" t="s">
        <v>1787</v>
      </c>
    </row>
    <row r="30" spans="1:1">
      <c r="A30" t="s">
        <v>1836</v>
      </c>
    </row>
    <row r="31" spans="1:1">
      <c r="A31" t="s">
        <v>1868</v>
      </c>
    </row>
    <row r="32" spans="1:1">
      <c r="A32" t="s">
        <v>1912</v>
      </c>
    </row>
    <row r="33" spans="1:1">
      <c r="A33" t="s">
        <v>1819</v>
      </c>
    </row>
    <row r="34" spans="1:1">
      <c r="A34" t="s">
        <v>1834</v>
      </c>
    </row>
    <row r="35" spans="1:1">
      <c r="A35" t="s">
        <v>1840</v>
      </c>
    </row>
    <row r="36" spans="1:1">
      <c r="A36" t="s">
        <v>1839</v>
      </c>
    </row>
    <row r="37" spans="1:1">
      <c r="A37" t="s">
        <v>1791</v>
      </c>
    </row>
    <row r="38" spans="1:1">
      <c r="A38" t="s">
        <v>1911</v>
      </c>
    </row>
    <row r="39" spans="1:1">
      <c r="A39" t="s">
        <v>1924</v>
      </c>
    </row>
    <row r="40" spans="1:1">
      <c r="A40" t="s">
        <v>1789</v>
      </c>
    </row>
    <row r="41" spans="1:1">
      <c r="A41" t="s">
        <v>1923</v>
      </c>
    </row>
    <row r="42" spans="1:1">
      <c r="A42" t="s">
        <v>1923</v>
      </c>
    </row>
    <row r="43" spans="1:1">
      <c r="A43" t="s">
        <v>1923</v>
      </c>
    </row>
    <row r="44" spans="1:1">
      <c r="A44" t="s">
        <v>1923</v>
      </c>
    </row>
    <row r="45" spans="1:1">
      <c r="A45" t="s">
        <v>1932</v>
      </c>
    </row>
    <row r="46" spans="1:1">
      <c r="A46" t="s">
        <v>1810</v>
      </c>
    </row>
    <row r="47" spans="1:1">
      <c r="A47" t="s">
        <v>1810</v>
      </c>
    </row>
    <row r="48" spans="1:1">
      <c r="A48" t="s">
        <v>1900</v>
      </c>
    </row>
    <row r="49" spans="1:1">
      <c r="A49" t="s">
        <v>1919</v>
      </c>
    </row>
    <row r="50" spans="1:1">
      <c r="A50" t="s">
        <v>1886</v>
      </c>
    </row>
    <row r="51" spans="1:1">
      <c r="A51" t="s">
        <v>1892</v>
      </c>
    </row>
    <row r="52" spans="1:1">
      <c r="A52" t="s">
        <v>1893</v>
      </c>
    </row>
    <row r="53" spans="1:1">
      <c r="A53" t="s">
        <v>1800</v>
      </c>
    </row>
    <row r="54" spans="1:1">
      <c r="A54" t="s">
        <v>1861</v>
      </c>
    </row>
    <row r="55" spans="1:1">
      <c r="A55" t="s">
        <v>1861</v>
      </c>
    </row>
    <row r="56" spans="1:1">
      <c r="A56" t="s">
        <v>1809</v>
      </c>
    </row>
    <row r="57" spans="1:1">
      <c r="A57" t="s">
        <v>1899</v>
      </c>
    </row>
    <row r="58" spans="1:1">
      <c r="A58" t="s">
        <v>1878</v>
      </c>
    </row>
    <row r="59" spans="1:1">
      <c r="A59" t="s">
        <v>1930</v>
      </c>
    </row>
    <row r="60" spans="1:1">
      <c r="A60" t="s">
        <v>1895</v>
      </c>
    </row>
    <row r="61" spans="1:1">
      <c r="A61" t="s">
        <v>1910</v>
      </c>
    </row>
    <row r="62" spans="1:1">
      <c r="A62" t="s">
        <v>1857</v>
      </c>
    </row>
    <row r="63" spans="1:1">
      <c r="A63" t="s">
        <v>1871</v>
      </c>
    </row>
    <row r="64" spans="1:1">
      <c r="A64" t="s">
        <v>1859</v>
      </c>
    </row>
    <row r="65" spans="1:1">
      <c r="A65" t="s">
        <v>1891</v>
      </c>
    </row>
    <row r="66" spans="1:1">
      <c r="A66" t="s">
        <v>1797</v>
      </c>
    </row>
    <row r="67" spans="1:1">
      <c r="A67" t="s">
        <v>1844</v>
      </c>
    </row>
    <row r="68" spans="1:1">
      <c r="A68" t="s">
        <v>1806</v>
      </c>
    </row>
    <row r="69" spans="1:1">
      <c r="A69" t="s">
        <v>1804</v>
      </c>
    </row>
    <row r="70" spans="1:1">
      <c r="A70" t="s">
        <v>1934</v>
      </c>
    </row>
    <row r="71" spans="1:1">
      <c r="A71" t="s">
        <v>1907</v>
      </c>
    </row>
    <row r="72" spans="1:1">
      <c r="A72" t="s">
        <v>1902</v>
      </c>
    </row>
    <row r="73" spans="1:1">
      <c r="A73" t="s">
        <v>1849</v>
      </c>
    </row>
    <row r="74" spans="1:1">
      <c r="A74" t="s">
        <v>1812</v>
      </c>
    </row>
    <row r="75" spans="1:1">
      <c r="A75" t="s">
        <v>1811</v>
      </c>
    </row>
    <row r="76" spans="1:1">
      <c r="A76" t="s">
        <v>1906</v>
      </c>
    </row>
    <row r="77" spans="1:1">
      <c r="A77" t="s">
        <v>1866</v>
      </c>
    </row>
    <row r="78" spans="1:1">
      <c r="A78" t="s">
        <v>1858</v>
      </c>
    </row>
    <row r="79" spans="1:1">
      <c r="A79" t="s">
        <v>1867</v>
      </c>
    </row>
    <row r="80" spans="1:1">
      <c r="A80" t="s">
        <v>1894</v>
      </c>
    </row>
    <row r="81" spans="1:1">
      <c r="A81" t="s">
        <v>1896</v>
      </c>
    </row>
    <row r="82" spans="1:1">
      <c r="A82" t="s">
        <v>1793</v>
      </c>
    </row>
    <row r="83" spans="1:1">
      <c r="A83" t="s">
        <v>1794</v>
      </c>
    </row>
    <row r="84" spans="1:1">
      <c r="A84" t="s">
        <v>1833</v>
      </c>
    </row>
    <row r="85" spans="1:1">
      <c r="A85" t="s">
        <v>1805</v>
      </c>
    </row>
    <row r="86" spans="1:1">
      <c r="A86" t="s">
        <v>1831</v>
      </c>
    </row>
    <row r="87" spans="1:1">
      <c r="A87" t="s">
        <v>1846</v>
      </c>
    </row>
    <row r="88" spans="1:1">
      <c r="A88" t="s">
        <v>1916</v>
      </c>
    </row>
    <row r="89" spans="1:1">
      <c r="A89" t="s">
        <v>1863</v>
      </c>
    </row>
    <row r="90" spans="1:1">
      <c r="A90" t="s">
        <v>1792</v>
      </c>
    </row>
    <row r="91" spans="1:1">
      <c r="A91" t="s">
        <v>1835</v>
      </c>
    </row>
    <row r="92" spans="1:1">
      <c r="A92" t="s">
        <v>1908</v>
      </c>
    </row>
    <row r="93" spans="1:1">
      <c r="A93" t="s">
        <v>1862</v>
      </c>
    </row>
    <row r="94" spans="1:1">
      <c r="A94" t="s">
        <v>1814</v>
      </c>
    </row>
    <row r="95" spans="1:1">
      <c r="A95" t="s">
        <v>1852</v>
      </c>
    </row>
    <row r="96" spans="1:1">
      <c r="A96" t="s">
        <v>1853</v>
      </c>
    </row>
    <row r="97" spans="1:1">
      <c r="A97" t="s">
        <v>1832</v>
      </c>
    </row>
    <row r="98" spans="1:1">
      <c r="A98" t="s">
        <v>1821</v>
      </c>
    </row>
    <row r="99" spans="1:1">
      <c r="A99" t="s">
        <v>1927</v>
      </c>
    </row>
    <row r="100" spans="1:1">
      <c r="A100" t="s">
        <v>1921</v>
      </c>
    </row>
    <row r="101" spans="1:1">
      <c r="A101" t="s">
        <v>1937</v>
      </c>
    </row>
    <row r="102" spans="1:1">
      <c r="A102" t="s">
        <v>1925</v>
      </c>
    </row>
    <row r="103" spans="1:1">
      <c r="A103" t="s">
        <v>1922</v>
      </c>
    </row>
    <row r="104" spans="1:1">
      <c r="A104" t="s">
        <v>1920</v>
      </c>
    </row>
    <row r="105" spans="1:1">
      <c r="A105" t="s">
        <v>1808</v>
      </c>
    </row>
    <row r="106" spans="1:1">
      <c r="A106" t="s">
        <v>1842</v>
      </c>
    </row>
    <row r="107" spans="1:1">
      <c r="A107" t="s">
        <v>1848</v>
      </c>
    </row>
    <row r="108" spans="1:1">
      <c r="A108" t="s">
        <v>1801</v>
      </c>
    </row>
    <row r="109" spans="1:1">
      <c r="A109" t="s">
        <v>1881</v>
      </c>
    </row>
    <row r="110" spans="1:1">
      <c r="A110" t="s">
        <v>1933</v>
      </c>
    </row>
    <row r="111" spans="1:1">
      <c r="A111" t="s">
        <v>1890</v>
      </c>
    </row>
    <row r="112" spans="1:1">
      <c r="A112" t="s">
        <v>1815</v>
      </c>
    </row>
    <row r="113" spans="1:1">
      <c r="A113" t="s">
        <v>1883</v>
      </c>
    </row>
    <row r="114" spans="1:1">
      <c r="A114" t="s">
        <v>1905</v>
      </c>
    </row>
    <row r="115" spans="1:1">
      <c r="A115" t="s">
        <v>1823</v>
      </c>
    </row>
    <row r="116" spans="1:1">
      <c r="A116" t="s">
        <v>1816</v>
      </c>
    </row>
    <row r="117" spans="1:1">
      <c r="A117" t="s">
        <v>1856</v>
      </c>
    </row>
    <row r="118" spans="1:1">
      <c r="A118" t="s">
        <v>1824</v>
      </c>
    </row>
    <row r="119" spans="1:1">
      <c r="A119" t="s">
        <v>1939</v>
      </c>
    </row>
    <row r="120" spans="1:1">
      <c r="A120" t="s">
        <v>1838</v>
      </c>
    </row>
    <row r="121" spans="1:1">
      <c r="A121" t="s">
        <v>1864</v>
      </c>
    </row>
    <row r="122" spans="1:1">
      <c r="A122" t="s">
        <v>1918</v>
      </c>
    </row>
    <row r="123" spans="1:1">
      <c r="A123" t="s">
        <v>1829</v>
      </c>
    </row>
    <row r="124" spans="1:1">
      <c r="A124" t="s">
        <v>1889</v>
      </c>
    </row>
    <row r="125" spans="1:1">
      <c r="A125" t="s">
        <v>1817</v>
      </c>
    </row>
    <row r="126" spans="1:1">
      <c r="A126" t="s">
        <v>1845</v>
      </c>
    </row>
    <row r="127" spans="1:1">
      <c r="A127" t="s">
        <v>1903</v>
      </c>
    </row>
    <row r="128" spans="1:1">
      <c r="A128" t="s">
        <v>1822</v>
      </c>
    </row>
    <row r="129" spans="1:1">
      <c r="A129" t="s">
        <v>1885</v>
      </c>
    </row>
    <row r="130" spans="1:1">
      <c r="A130" t="s">
        <v>1828</v>
      </c>
    </row>
    <row r="131" spans="1:1">
      <c r="A131" t="s">
        <v>1803</v>
      </c>
    </row>
    <row r="132" spans="1:1">
      <c r="A132" t="s">
        <v>1790</v>
      </c>
    </row>
    <row r="133" spans="1:1">
      <c r="A133" t="s">
        <v>1790</v>
      </c>
    </row>
    <row r="134" spans="1:1">
      <c r="A134" t="s">
        <v>1790</v>
      </c>
    </row>
    <row r="135" spans="1:1">
      <c r="A135" t="s">
        <v>1847</v>
      </c>
    </row>
    <row r="136" spans="1:1">
      <c r="A136" t="s">
        <v>1798</v>
      </c>
    </row>
    <row r="137" spans="1:1">
      <c r="A137" t="s">
        <v>1855</v>
      </c>
    </row>
    <row r="138" spans="1:1">
      <c r="A138" t="s">
        <v>1826</v>
      </c>
    </row>
    <row r="139" spans="1:1">
      <c r="A139" t="s">
        <v>1830</v>
      </c>
    </row>
    <row r="140" spans="1:1">
      <c r="A140" t="s">
        <v>1904</v>
      </c>
    </row>
    <row r="141" spans="1:1">
      <c r="A141" t="s">
        <v>236</v>
      </c>
    </row>
    <row r="142" spans="1:1">
      <c r="A142" t="s">
        <v>1796</v>
      </c>
    </row>
    <row r="143" spans="1:1">
      <c r="A143" t="s">
        <v>1873</v>
      </c>
    </row>
    <row r="144" spans="1:1">
      <c r="A144" t="s">
        <v>1938</v>
      </c>
    </row>
    <row r="145" spans="1:1">
      <c r="A145" t="s">
        <v>1802</v>
      </c>
    </row>
    <row r="146" spans="1:1">
      <c r="A146" t="s">
        <v>1879</v>
      </c>
    </row>
    <row r="147" spans="1:1">
      <c r="A147" t="s">
        <v>1851</v>
      </c>
    </row>
    <row r="148" spans="1:1">
      <c r="A148" t="s">
        <v>1850</v>
      </c>
    </row>
    <row r="149" spans="1:1">
      <c r="A149" t="s">
        <v>1813</v>
      </c>
    </row>
    <row r="150" spans="1:1">
      <c r="A150" t="s">
        <v>1880</v>
      </c>
    </row>
    <row r="151" spans="1:1">
      <c r="A151" t="s">
        <v>1901</v>
      </c>
    </row>
    <row r="152" spans="1:1">
      <c r="A152" t="s">
        <v>1827</v>
      </c>
    </row>
    <row r="153" spans="1:1">
      <c r="A153" t="s">
        <v>1913</v>
      </c>
    </row>
    <row r="154" spans="1:1">
      <c r="A154" t="s">
        <v>1928</v>
      </c>
    </row>
    <row r="155" spans="1:1">
      <c r="A155" t="s">
        <v>1917</v>
      </c>
    </row>
    <row r="156" spans="1:1">
      <c r="A156" t="s">
        <v>1788</v>
      </c>
    </row>
    <row r="157" spans="1:1">
      <c r="A157" t="s">
        <v>1820</v>
      </c>
    </row>
    <row r="158" spans="1:1">
      <c r="A158" t="s">
        <v>1799</v>
      </c>
    </row>
    <row r="159" spans="1:1">
      <c r="A159" t="s">
        <v>1807</v>
      </c>
    </row>
    <row r="160" spans="1:1">
      <c r="A160" t="s">
        <v>1837</v>
      </c>
    </row>
    <row r="161" spans="1:1">
      <c r="A161" t="s">
        <v>1931</v>
      </c>
    </row>
    <row r="162" spans="1:1">
      <c r="A162" t="s">
        <v>1929</v>
      </c>
    </row>
    <row r="163" spans="1:1">
      <c r="A163" t="s">
        <v>1884</v>
      </c>
    </row>
    <row r="164" spans="1:1">
      <c r="A164" t="s">
        <v>1882</v>
      </c>
    </row>
  </sheetData>
  <sortState xmlns:xlrd2="http://schemas.microsoft.com/office/spreadsheetml/2017/richdata2" ref="A1:A165">
    <sortCondition ref="A1:A165"/>
  </sortState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D56E-9A12-4FDA-B6C2-B79CE9EA5095}">
  <sheetPr codeName="Sheet25"/>
  <dimension ref="A1"/>
  <sheetViews>
    <sheetView workbookViewId="0"/>
  </sheetViews>
  <sheetFormatPr defaultRowHeight="13.8"/>
  <sheetData/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C34E35-F3CB-49C6-BB11-982EC32511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qwert_ppt</vt:lpstr>
      <vt:lpstr>qwert</vt:lpstr>
      <vt:lpstr>CLSID</vt:lpstr>
      <vt:lpstr>shortcut (2)</vt:lpstr>
      <vt:lpstr>shortcut</vt:lpstr>
      <vt:lpstr>my_function</vt:lpstr>
      <vt:lpstr>Sheet8</vt:lpstr>
      <vt:lpstr>total commander</vt:lpstr>
      <vt:lpstr>PPT控件</vt:lpstr>
      <vt:lpstr>PPT函数</vt:lpstr>
      <vt:lpstr>全局按键</vt:lpstr>
      <vt:lpstr>Sheet5</vt:lpstr>
      <vt:lpstr>微信表情</vt:lpstr>
      <vt:lpstr>PPT按键</vt:lpstr>
      <vt:lpstr>keyFunc</vt:lpstr>
      <vt:lpstr>程序快捷键</vt:lpstr>
      <vt:lpstr>PPT功能</vt:lpstr>
      <vt:lpstr>VBA函数</vt:lpstr>
      <vt:lpstr>文件夹</vt:lpstr>
      <vt:lpstr>任务栏</vt:lpstr>
      <vt:lpstr>Sheet4</vt:lpstr>
      <vt:lpstr>Sheet1</vt:lpstr>
      <vt:lpstr>全局按键函数</vt:lpstr>
      <vt:lpstr>公共函数</vt:lpstr>
      <vt:lpstr>Sheet2</vt:lpstr>
      <vt:lpstr>Sheet3</vt:lpstr>
      <vt:lpstr>Sheet6</vt:lpstr>
      <vt:lpstr>commandbars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王俊涛</dc:creator>
  <cp:lastModifiedBy>俊涛 王</cp:lastModifiedBy>
  <cp:lastPrinted>2024-07-11T13:29:21Z</cp:lastPrinted>
  <dcterms:created xsi:type="dcterms:W3CDTF">2023-06-11T05:36:58Z</dcterms:created>
  <dcterms:modified xsi:type="dcterms:W3CDTF">2024-07-26T14:21:42Z</dcterms:modified>
</cp:coreProperties>
</file>